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norton/Documents/USC/Muscle Proteomics/"/>
    </mc:Choice>
  </mc:AlternateContent>
  <xr:revisionPtr revIDLastSave="0" documentId="8_{F8B30706-3BA8-0E42-A4CC-AC0FF9191B3A}" xr6:coauthVersionLast="47" xr6:coauthVersionMax="47" xr10:uidLastSave="{00000000-0000-0000-0000-000000000000}"/>
  <bookViews>
    <workbookView xWindow="180" yWindow="860" windowWidth="29220" windowHeight="16800" activeTab="2" xr2:uid="{00000000-000D-0000-FFFF-FFFF00000000}"/>
  </bookViews>
  <sheets>
    <sheet name="STD Curve" sheetId="1" r:id="rId1"/>
    <sheet name="Volume-Dilution" sheetId="2" r:id="rId2"/>
    <sheet name="SC Cancer Creatine_SkM_BCA_SCN_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3" i="1" l="1"/>
  <c r="I62" i="1"/>
  <c r="I61" i="1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2" i="2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20" i="1"/>
  <c r="F61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20" i="1"/>
  <c r="E13" i="1"/>
  <c r="E14" i="1"/>
  <c r="E15" i="1"/>
  <c r="E16" i="1"/>
  <c r="E17" i="1"/>
  <c r="E12" i="1"/>
  <c r="D21" i="1" l="1"/>
  <c r="H21" i="1" s="1"/>
  <c r="D22" i="1"/>
  <c r="H22" i="1" s="1"/>
  <c r="D23" i="1"/>
  <c r="H23" i="1" s="1"/>
  <c r="D24" i="1"/>
  <c r="H24" i="1" s="1"/>
  <c r="D25" i="1"/>
  <c r="H25" i="1" s="1"/>
  <c r="D26" i="1"/>
  <c r="H26" i="1" s="1"/>
  <c r="D27" i="1"/>
  <c r="H27" i="1" s="1"/>
  <c r="D28" i="1"/>
  <c r="H28" i="1" s="1"/>
  <c r="D29" i="1"/>
  <c r="H29" i="1" s="1"/>
  <c r="D30" i="1"/>
  <c r="H30" i="1" s="1"/>
  <c r="D31" i="1"/>
  <c r="H31" i="1" s="1"/>
  <c r="D32" i="1"/>
  <c r="H32" i="1" s="1"/>
  <c r="D33" i="1"/>
  <c r="H33" i="1" s="1"/>
  <c r="D34" i="1"/>
  <c r="H34" i="1" s="1"/>
  <c r="D35" i="1"/>
  <c r="H35" i="1" s="1"/>
  <c r="D36" i="1"/>
  <c r="H36" i="1" s="1"/>
  <c r="D37" i="1"/>
  <c r="H37" i="1" s="1"/>
  <c r="D38" i="1"/>
  <c r="H38" i="1" s="1"/>
  <c r="D39" i="1"/>
  <c r="H39" i="1" s="1"/>
  <c r="D40" i="1"/>
  <c r="H40" i="1" s="1"/>
  <c r="D41" i="1"/>
  <c r="H41" i="1" s="1"/>
  <c r="D42" i="1"/>
  <c r="H42" i="1" s="1"/>
  <c r="D43" i="1"/>
  <c r="H43" i="1" s="1"/>
  <c r="D44" i="1"/>
  <c r="H44" i="1" s="1"/>
  <c r="D45" i="1"/>
  <c r="H45" i="1" s="1"/>
  <c r="D46" i="1"/>
  <c r="H46" i="1" s="1"/>
  <c r="D47" i="1"/>
  <c r="H47" i="1" s="1"/>
  <c r="D48" i="1"/>
  <c r="H48" i="1" s="1"/>
  <c r="D49" i="1"/>
  <c r="H49" i="1" s="1"/>
  <c r="D50" i="1"/>
  <c r="H50" i="1" s="1"/>
  <c r="D51" i="1"/>
  <c r="H51" i="1" s="1"/>
  <c r="D52" i="1"/>
  <c r="H52" i="1" s="1"/>
  <c r="D53" i="1"/>
  <c r="H53" i="1" s="1"/>
  <c r="D54" i="1"/>
  <c r="H54" i="1" s="1"/>
  <c r="D55" i="1"/>
  <c r="H55" i="1" s="1"/>
  <c r="D56" i="1"/>
  <c r="H56" i="1" s="1"/>
  <c r="D57" i="1"/>
  <c r="H57" i="1" s="1"/>
  <c r="D58" i="1"/>
  <c r="H58" i="1" s="1"/>
  <c r="D59" i="1"/>
  <c r="H59" i="1" s="1"/>
  <c r="D60" i="1"/>
  <c r="H60" i="1" s="1"/>
  <c r="D20" i="1"/>
  <c r="H20" i="1" s="1"/>
  <c r="D13" i="1"/>
  <c r="F13" i="1" s="1"/>
  <c r="D14" i="1"/>
  <c r="F14" i="1" s="1"/>
  <c r="D15" i="1"/>
  <c r="F15" i="1" s="1"/>
  <c r="D16" i="1"/>
  <c r="F16" i="1" s="1"/>
  <c r="D17" i="1"/>
  <c r="F17" i="1" s="1"/>
  <c r="D12" i="1"/>
  <c r="F12" i="1" s="1"/>
  <c r="F18" i="1" l="1"/>
</calcChain>
</file>

<file path=xl/sharedStrings.xml><?xml version="1.0" encoding="utf-8"?>
<sst xmlns="http://schemas.openxmlformats.org/spreadsheetml/2006/main" count="420" uniqueCount="109">
  <si>
    <t>A</t>
  </si>
  <si>
    <t>B</t>
  </si>
  <si>
    <t>C</t>
  </si>
  <si>
    <t>D</t>
  </si>
  <si>
    <t>E</t>
  </si>
  <si>
    <t>F</t>
  </si>
  <si>
    <t>G</t>
  </si>
  <si>
    <t>H</t>
  </si>
  <si>
    <t>STD</t>
  </si>
  <si>
    <t>Abs_avg</t>
  </si>
  <si>
    <t>Sample</t>
  </si>
  <si>
    <t>Dilution Factor</t>
  </si>
  <si>
    <t>uncorr. [ ] (ug/uL)</t>
  </si>
  <si>
    <t>corr. [ ] (ug/uL)</t>
  </si>
  <si>
    <t>Vol. needed for 10ug</t>
  </si>
  <si>
    <t>Vol needed for 50ug</t>
  </si>
  <si>
    <t>CR6-BL</t>
  </si>
  <si>
    <t>CR6-POST</t>
  </si>
  <si>
    <t>CR7-BL</t>
  </si>
  <si>
    <t>CR7-POST</t>
  </si>
  <si>
    <t>CR17-BL</t>
  </si>
  <si>
    <t>CR17-POST</t>
  </si>
  <si>
    <t>CR18-BL</t>
  </si>
  <si>
    <t>CR18-POST</t>
  </si>
  <si>
    <t>CR149-BL</t>
  </si>
  <si>
    <t>CR149-POST</t>
  </si>
  <si>
    <t>CR386-BL</t>
  </si>
  <si>
    <t>CR386-POST</t>
  </si>
  <si>
    <t>CR15-BL</t>
  </si>
  <si>
    <t>CR23-BL</t>
  </si>
  <si>
    <t>CR8-BL</t>
  </si>
  <si>
    <t>CR8-POST</t>
  </si>
  <si>
    <t>CR9-BL</t>
  </si>
  <si>
    <t>CR9-POST</t>
  </si>
  <si>
    <t>CR10-BL</t>
  </si>
  <si>
    <t>CR10-POST</t>
  </si>
  <si>
    <t>CR12-BL</t>
  </si>
  <si>
    <t>CR12-POST</t>
  </si>
  <si>
    <t>CR22-BL</t>
  </si>
  <si>
    <t>CR22-POST</t>
  </si>
  <si>
    <t>CR25-BL</t>
  </si>
  <si>
    <t>CR25-POST</t>
  </si>
  <si>
    <t>CR72-BL</t>
  </si>
  <si>
    <t>CR72-POST</t>
  </si>
  <si>
    <t>CR163-BL</t>
  </si>
  <si>
    <t>CR163-POST</t>
  </si>
  <si>
    <t>CR383-BL</t>
  </si>
  <si>
    <t>PPS20</t>
  </si>
  <si>
    <t>PPS28</t>
  </si>
  <si>
    <t>PPS31</t>
  </si>
  <si>
    <t>PPS32</t>
  </si>
  <si>
    <t>PPS37</t>
  </si>
  <si>
    <t>PPS40</t>
  </si>
  <si>
    <t>PPS41</t>
  </si>
  <si>
    <t>PPS42</t>
  </si>
  <si>
    <t>PPS44</t>
  </si>
  <si>
    <t>PPS02</t>
  </si>
  <si>
    <t>Abs_2</t>
  </si>
  <si>
    <t>Abs_1</t>
  </si>
  <si>
    <t>stdev</t>
  </si>
  <si>
    <t>cv</t>
  </si>
  <si>
    <t>Vol buffer</t>
  </si>
  <si>
    <t>Adj. Vol needed</t>
  </si>
  <si>
    <t>Adj. buffer vol.</t>
  </si>
  <si>
    <t>To Print (rounded values)</t>
  </si>
  <si>
    <t>Vol. (uL) needed for 50 ug</t>
  </si>
  <si>
    <t>Vol. (uL) buffer</t>
  </si>
  <si>
    <t>Placebo</t>
  </si>
  <si>
    <t>Supplement</t>
  </si>
  <si>
    <t>Healthy Controls</t>
  </si>
  <si>
    <t>N</t>
  </si>
  <si>
    <t>MAX</t>
  </si>
  <si>
    <t>MIN</t>
  </si>
  <si>
    <t>AVG</t>
  </si>
  <si>
    <t>sample_id</t>
  </si>
  <si>
    <t>pid</t>
  </si>
  <si>
    <t>timpeoint</t>
  </si>
  <si>
    <t>PLA</t>
  </si>
  <si>
    <t>CRE</t>
  </si>
  <si>
    <t>group1</t>
  </si>
  <si>
    <t>na</t>
  </si>
  <si>
    <t>group2</t>
  </si>
  <si>
    <t>SURV</t>
  </si>
  <si>
    <t>CTL</t>
  </si>
  <si>
    <t>CR6</t>
  </si>
  <si>
    <t>CR7</t>
  </si>
  <si>
    <t>CR17</t>
  </si>
  <si>
    <t>CR18</t>
  </si>
  <si>
    <t>CR149</t>
  </si>
  <si>
    <t>CR386</t>
  </si>
  <si>
    <t>CR15</t>
  </si>
  <si>
    <t>CR23</t>
  </si>
  <si>
    <t>CR8</t>
  </si>
  <si>
    <t>CR9</t>
  </si>
  <si>
    <t>CR10</t>
  </si>
  <si>
    <t>CR12</t>
  </si>
  <si>
    <t>CR22</t>
  </si>
  <si>
    <t>CR25</t>
  </si>
  <si>
    <t>CR72</t>
  </si>
  <si>
    <t>CR163</t>
  </si>
  <si>
    <t>CR383</t>
  </si>
  <si>
    <t>T1</t>
  </si>
  <si>
    <t>T2</t>
  </si>
  <si>
    <t>bmi</t>
  </si>
  <si>
    <t>age</t>
  </si>
  <si>
    <t>weight_kg</t>
  </si>
  <si>
    <t>sex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</si>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</sst>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  <font>
      <b/>
      <sz val="11"/>
      <color theme="1"/>
      <name val="Aptos Narrow"/>
      <family val="2"/>
      <scheme val="minor"/>
    </font>
    <font>
      <b/>
      <sz val="10"/>
      <color rgb="FF27413E"/>
      <name val="Arial"/>
      <family val="2"/>
    </font>
    <font>
      <b/>
      <sz val="11"/>
      <color theme="1"/>
      <name val="Aptos Narrow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vertical="center" wrapText="1"/>
    </xf>
    <xf numFmtId="0" fontId="4" fillId="0" borderId="0" xfId="0" applyFont="1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4" fillId="16" borderId="0" xfId="0" applyFont="1" applyFill="1" applyAlignment="1">
      <alignment horizontal="center"/>
    </xf>
    <xf numFmtId="164" fontId="0" fillId="16" borderId="0" xfId="0" applyNumberFormat="1" applyFill="1" applyAlignment="1">
      <alignment horizontal="center"/>
    </xf>
    <xf numFmtId="0" fontId="4" fillId="16" borderId="2" xfId="0" applyFont="1" applyFill="1" applyBorder="1" applyAlignment="1">
      <alignment horizontal="center"/>
    </xf>
    <xf numFmtId="164" fontId="0" fillId="16" borderId="2" xfId="0" applyNumberFormat="1" applyFill="1" applyBorder="1" applyAlignment="1">
      <alignment horizontal="center"/>
    </xf>
    <xf numFmtId="0" fontId="4" fillId="16" borderId="2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16" borderId="0" xfId="0" applyFont="1" applyFill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16" borderId="4" xfId="0" applyFont="1" applyFill="1" applyBorder="1" applyAlignment="1">
      <alignment horizontal="center" vertical="center"/>
    </xf>
    <xf numFmtId="0" fontId="6" fillId="16" borderId="2" xfId="0" applyFont="1" applyFill="1" applyBorder="1" applyAlignment="1">
      <alignment horizontal="center"/>
    </xf>
    <xf numFmtId="0" fontId="0" fillId="0" borderId="3" xfId="0" applyBorder="1" applyAlignment="1">
      <alignment horizontal="right" vertical="center" textRotation="90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5550743657042868E-2"/>
                  <c:y val="-0.209359871682706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 Curve'!$D$12:$D$17</c:f>
              <c:numCache>
                <c:formatCode>General</c:formatCode>
                <c:ptCount val="6"/>
                <c:pt idx="0">
                  <c:v>0.92449999999999999</c:v>
                </c:pt>
                <c:pt idx="1">
                  <c:v>0.5794999999999999</c:v>
                </c:pt>
                <c:pt idx="2">
                  <c:v>0.33899999999999997</c:v>
                </c:pt>
                <c:pt idx="3">
                  <c:v>0.2135</c:v>
                </c:pt>
                <c:pt idx="4">
                  <c:v>0.13650000000000001</c:v>
                </c:pt>
                <c:pt idx="5">
                  <c:v>7.85E-2</c:v>
                </c:pt>
              </c:numCache>
            </c:numRef>
          </c:xVal>
          <c:yVal>
            <c:numRef>
              <c:f>'STD Curve'!$A$12:$A$17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0.5</c:v>
                </c:pt>
                <c:pt idx="3">
                  <c:v>0.25</c:v>
                </c:pt>
                <c:pt idx="4">
                  <c:v>0.125</c:v>
                </c:pt>
                <c:pt idx="5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FE6-7144-9FD5-105B3B99D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858544"/>
        <c:axId val="1151776048"/>
      </c:scatterChart>
      <c:valAx>
        <c:axId val="1150858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776048"/>
        <c:crosses val="autoZero"/>
        <c:crossBetween val="midCat"/>
      </c:valAx>
      <c:valAx>
        <c:axId val="115177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858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247650</xdr:colOff>
      <xdr:row>3</xdr:row>
      <xdr:rowOff>120650</xdr:rowOff>
    </xdr:from>
    <xdr:to>
      <xdr:col>20</xdr:col>
      <xdr:colOff>107950</xdr:colOff>
      <xdr:row>18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ED28FD-4099-2EF5-7C3A-B60EF2B2B5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3"/>
  <sheetViews>
    <sheetView topLeftCell="A54" workbookViewId="0">
      <selection activeCell="F65" sqref="F65"/>
    </sheetView>
  </sheetViews>
  <sheetFormatPr baseColWidth="10" defaultColWidth="8.83203125" defaultRowHeight="15" x14ac:dyDescent="0.2"/>
  <cols>
    <col min="1" max="1" width="10.5" customWidth="1"/>
    <col min="6" max="6" width="11.1640625" customWidth="1"/>
    <col min="7" max="7" width="10.6640625" customWidth="1"/>
    <col min="8" max="8" width="8.83203125" customWidth="1"/>
  </cols>
  <sheetData>
    <row r="1" spans="1:14" x14ac:dyDescent="0.2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">
      <c r="A2" s="2" t="s">
        <v>0</v>
      </c>
      <c r="B2" s="3">
        <v>0.90500000000000003</v>
      </c>
      <c r="C2" s="3">
        <v>0.94399999999999995</v>
      </c>
      <c r="D2" s="4">
        <v>0.22500000000000001</v>
      </c>
      <c r="E2" s="4">
        <v>0.19900000000000001</v>
      </c>
      <c r="F2" s="5">
        <v>0.16500000000000001</v>
      </c>
      <c r="G2" s="5">
        <v>0.152</v>
      </c>
      <c r="H2" s="6">
        <v>0.499</v>
      </c>
      <c r="I2" s="7">
        <v>0.41199999999999998</v>
      </c>
      <c r="J2" s="7">
        <v>0.41299999999999998</v>
      </c>
      <c r="K2" s="8">
        <v>0.33900000000000002</v>
      </c>
      <c r="L2" s="9">
        <v>0.71899999999999997</v>
      </c>
      <c r="M2" s="10">
        <v>0.64</v>
      </c>
      <c r="N2" s="11"/>
    </row>
    <row r="3" spans="1:14" x14ac:dyDescent="0.2">
      <c r="A3" s="2" t="s">
        <v>1</v>
      </c>
      <c r="B3" s="12">
        <v>0.56899999999999995</v>
      </c>
      <c r="C3" s="12">
        <v>0.59</v>
      </c>
      <c r="D3" s="8">
        <v>0.32100000000000001</v>
      </c>
      <c r="E3" s="13">
        <v>0.29599999999999999</v>
      </c>
      <c r="F3" s="8">
        <v>0.30599999999999999</v>
      </c>
      <c r="G3" s="13">
        <v>0.28000000000000003</v>
      </c>
      <c r="H3" s="14">
        <v>0.45300000000000001</v>
      </c>
      <c r="I3" s="7">
        <v>0.41299999999999998</v>
      </c>
      <c r="J3" s="13">
        <v>0.251</v>
      </c>
      <c r="K3" s="4">
        <v>0.222</v>
      </c>
      <c r="L3" s="9">
        <v>0.73199999999999998</v>
      </c>
      <c r="M3" s="10">
        <v>0.67</v>
      </c>
      <c r="N3" s="11"/>
    </row>
    <row r="4" spans="1:14" x14ac:dyDescent="0.2">
      <c r="A4" s="2" t="s">
        <v>2</v>
      </c>
      <c r="B4" s="8">
        <v>0.33300000000000002</v>
      </c>
      <c r="C4" s="8">
        <v>0.34499999999999997</v>
      </c>
      <c r="D4" s="14">
        <v>0.438</v>
      </c>
      <c r="E4" s="14">
        <v>0.44800000000000001</v>
      </c>
      <c r="F4" s="13">
        <v>0.27100000000000002</v>
      </c>
      <c r="G4" s="4">
        <v>0.216</v>
      </c>
      <c r="H4" s="13">
        <v>0.28699999999999998</v>
      </c>
      <c r="I4" s="7">
        <v>0.38600000000000001</v>
      </c>
      <c r="J4" s="14">
        <v>0.44</v>
      </c>
      <c r="K4" s="7">
        <v>0.36899999999999999</v>
      </c>
      <c r="L4" s="9">
        <v>0.70399999999999996</v>
      </c>
      <c r="M4" s="10">
        <v>0.63200000000000001</v>
      </c>
      <c r="N4" s="11"/>
    </row>
    <row r="5" spans="1:14" x14ac:dyDescent="0.2">
      <c r="A5" s="2" t="s">
        <v>3</v>
      </c>
      <c r="B5" s="4">
        <v>0.21299999999999999</v>
      </c>
      <c r="C5" s="4">
        <v>0.214</v>
      </c>
      <c r="D5" s="6">
        <v>0.54700000000000004</v>
      </c>
      <c r="E5" s="6">
        <v>0.52400000000000002</v>
      </c>
      <c r="F5" s="13">
        <v>0.27500000000000002</v>
      </c>
      <c r="G5" s="13">
        <v>0.24399999999999999</v>
      </c>
      <c r="H5" s="7">
        <v>0.39800000000000002</v>
      </c>
      <c r="I5" s="7">
        <v>0.38200000000000001</v>
      </c>
      <c r="J5" s="13">
        <v>0.28499999999999998</v>
      </c>
      <c r="K5" s="13">
        <v>0.29399999999999998</v>
      </c>
      <c r="L5" s="15">
        <v>0.754</v>
      </c>
      <c r="M5" s="9">
        <v>0.70299999999999996</v>
      </c>
      <c r="N5" s="11"/>
    </row>
    <row r="6" spans="1:14" x14ac:dyDescent="0.2">
      <c r="A6" s="2" t="s">
        <v>4</v>
      </c>
      <c r="B6" s="5">
        <v>0.14099999999999999</v>
      </c>
      <c r="C6" s="5">
        <v>0.13200000000000001</v>
      </c>
      <c r="D6" s="14">
        <v>0.45100000000000001</v>
      </c>
      <c r="E6" s="8">
        <v>0.36</v>
      </c>
      <c r="F6" s="10">
        <v>0.64800000000000002</v>
      </c>
      <c r="G6" s="12">
        <v>0.56100000000000005</v>
      </c>
      <c r="H6" s="8">
        <v>0.34300000000000003</v>
      </c>
      <c r="I6" s="13">
        <v>0.27100000000000002</v>
      </c>
      <c r="J6" s="7">
        <v>0.371</v>
      </c>
      <c r="K6" s="8">
        <v>0.32</v>
      </c>
      <c r="L6" s="10">
        <v>0.64700000000000002</v>
      </c>
      <c r="M6" s="6">
        <v>0.52800000000000002</v>
      </c>
      <c r="N6" s="11"/>
    </row>
    <row r="7" spans="1:14" x14ac:dyDescent="0.2">
      <c r="A7" s="2" t="s">
        <v>5</v>
      </c>
      <c r="B7" s="16">
        <v>7.6999999999999999E-2</v>
      </c>
      <c r="C7" s="16">
        <v>0.08</v>
      </c>
      <c r="D7" s="12">
        <v>0.59599999999999997</v>
      </c>
      <c r="E7" s="6">
        <v>0.53100000000000003</v>
      </c>
      <c r="F7" s="12">
        <v>0.57799999999999996</v>
      </c>
      <c r="G7" s="6">
        <v>0.52</v>
      </c>
      <c r="H7" s="14">
        <v>0.45100000000000001</v>
      </c>
      <c r="I7" s="7">
        <v>0.39800000000000002</v>
      </c>
      <c r="J7" s="7">
        <v>0.41899999999999998</v>
      </c>
      <c r="K7" s="7">
        <v>0.371</v>
      </c>
      <c r="L7" s="14">
        <v>0.42799999999999999</v>
      </c>
      <c r="M7" s="7">
        <v>0.36699999999999999</v>
      </c>
      <c r="N7" s="11"/>
    </row>
    <row r="8" spans="1:14" x14ac:dyDescent="0.2">
      <c r="A8" s="2" t="s">
        <v>6</v>
      </c>
      <c r="B8" s="6">
        <v>0.50900000000000001</v>
      </c>
      <c r="C8" s="14">
        <v>0.44</v>
      </c>
      <c r="D8" s="7">
        <v>0.40200000000000002</v>
      </c>
      <c r="E8" s="8">
        <v>0.34899999999999998</v>
      </c>
      <c r="F8" s="14">
        <v>0.45600000000000002</v>
      </c>
      <c r="G8" s="7">
        <v>0.378</v>
      </c>
      <c r="H8" s="8">
        <v>0.35399999999999998</v>
      </c>
      <c r="I8" s="8">
        <v>0.34699999999999998</v>
      </c>
      <c r="J8" s="10">
        <v>0.65400000000000003</v>
      </c>
      <c r="K8" s="12">
        <v>0.56399999999999995</v>
      </c>
      <c r="L8" s="14">
        <v>0.45600000000000002</v>
      </c>
      <c r="M8" s="7">
        <v>0.42199999999999999</v>
      </c>
      <c r="N8" s="11"/>
    </row>
    <row r="9" spans="1:14" x14ac:dyDescent="0.2">
      <c r="A9" s="2" t="s">
        <v>7</v>
      </c>
      <c r="B9" s="12">
        <v>0.57599999999999996</v>
      </c>
      <c r="C9" s="6">
        <v>0.54400000000000004</v>
      </c>
      <c r="D9" s="14">
        <v>0.438</v>
      </c>
      <c r="E9" s="7">
        <v>0.39800000000000002</v>
      </c>
      <c r="F9" s="13">
        <v>0.28299999999999997</v>
      </c>
      <c r="G9" s="13">
        <v>0.253</v>
      </c>
      <c r="H9" s="6">
        <v>0.52</v>
      </c>
      <c r="I9" s="6">
        <v>0.496</v>
      </c>
      <c r="J9" s="14">
        <v>0.44500000000000001</v>
      </c>
      <c r="K9" s="7">
        <v>0.40600000000000003</v>
      </c>
      <c r="L9" s="16">
        <v>3.9E-2</v>
      </c>
      <c r="M9" s="16">
        <v>4.4999999999999998E-2</v>
      </c>
      <c r="N9" s="11"/>
    </row>
    <row r="11" spans="1:14" x14ac:dyDescent="0.2">
      <c r="A11" s="19" t="s">
        <v>8</v>
      </c>
      <c r="B11" s="20" t="s">
        <v>58</v>
      </c>
      <c r="C11" s="20" t="s">
        <v>57</v>
      </c>
      <c r="D11" s="20" t="s">
        <v>9</v>
      </c>
      <c r="E11" s="20" t="s">
        <v>59</v>
      </c>
      <c r="F11" s="20" t="s">
        <v>60</v>
      </c>
    </row>
    <row r="12" spans="1:14" x14ac:dyDescent="0.2">
      <c r="A12">
        <v>2</v>
      </c>
      <c r="B12">
        <v>0.90500000000000003</v>
      </c>
      <c r="C12">
        <v>0.94399999999999995</v>
      </c>
      <c r="D12">
        <f>AVERAGE(B12,C12)</f>
        <v>0.92449999999999999</v>
      </c>
      <c r="E12">
        <f>STDEV(B12,C12)</f>
        <v>2.7577164466275301E-2</v>
      </c>
      <c r="F12">
        <f>(E12/D12)*100</f>
        <v>2.982927470662553</v>
      </c>
    </row>
    <row r="13" spans="1:14" x14ac:dyDescent="0.2">
      <c r="A13">
        <v>1</v>
      </c>
      <c r="B13">
        <v>0.56899999999999995</v>
      </c>
      <c r="C13">
        <v>0.59</v>
      </c>
      <c r="D13">
        <f t="shared" ref="D13:D17" si="0">AVERAGE(B13,C13)</f>
        <v>0.5794999999999999</v>
      </c>
      <c r="E13">
        <f t="shared" ref="E13:E17" si="1">STDEV(B13,C13)</f>
        <v>1.4849242404917511E-2</v>
      </c>
      <c r="F13">
        <f t="shared" ref="F13:F17" si="2">(E13/D13)*100</f>
        <v>2.5624231932558263</v>
      </c>
    </row>
    <row r="14" spans="1:14" x14ac:dyDescent="0.2">
      <c r="A14">
        <v>0.5</v>
      </c>
      <c r="B14">
        <v>0.33300000000000002</v>
      </c>
      <c r="C14">
        <v>0.34499999999999997</v>
      </c>
      <c r="D14">
        <f t="shared" si="0"/>
        <v>0.33899999999999997</v>
      </c>
      <c r="E14">
        <f t="shared" si="1"/>
        <v>8.4852813742385385E-3</v>
      </c>
      <c r="F14">
        <f t="shared" si="2"/>
        <v>2.5030328537576811</v>
      </c>
    </row>
    <row r="15" spans="1:14" x14ac:dyDescent="0.2">
      <c r="A15">
        <v>0.25</v>
      </c>
      <c r="B15">
        <v>0.21299999999999999</v>
      </c>
      <c r="C15">
        <v>0.214</v>
      </c>
      <c r="D15">
        <f t="shared" si="0"/>
        <v>0.2135</v>
      </c>
      <c r="E15">
        <f t="shared" si="1"/>
        <v>7.0710678118654816E-4</v>
      </c>
      <c r="F15">
        <f t="shared" si="2"/>
        <v>0.33119755559088909</v>
      </c>
    </row>
    <row r="16" spans="1:14" x14ac:dyDescent="0.2">
      <c r="A16">
        <v>0.125</v>
      </c>
      <c r="B16">
        <v>0.14099999999999999</v>
      </c>
      <c r="C16">
        <v>0.13200000000000001</v>
      </c>
      <c r="D16">
        <f t="shared" si="0"/>
        <v>0.13650000000000001</v>
      </c>
      <c r="E16">
        <f t="shared" si="1"/>
        <v>6.3639610306789138E-3</v>
      </c>
      <c r="F16">
        <f t="shared" si="2"/>
        <v>4.6622425133178851</v>
      </c>
    </row>
    <row r="17" spans="1:11" x14ac:dyDescent="0.2">
      <c r="A17">
        <v>0</v>
      </c>
      <c r="B17">
        <v>7.6999999999999999E-2</v>
      </c>
      <c r="C17">
        <v>0.08</v>
      </c>
      <c r="D17">
        <f t="shared" si="0"/>
        <v>7.85E-2</v>
      </c>
      <c r="E17">
        <f t="shared" si="1"/>
        <v>2.1213203435596446E-3</v>
      </c>
      <c r="F17">
        <f t="shared" si="2"/>
        <v>2.7023189089931776</v>
      </c>
    </row>
    <row r="18" spans="1:11" x14ac:dyDescent="0.2">
      <c r="F18">
        <f>AVERAGE(F12:F17)</f>
        <v>2.6240237492630016</v>
      </c>
    </row>
    <row r="19" spans="1:11" ht="48" x14ac:dyDescent="0.2">
      <c r="A19" s="17" t="s">
        <v>10</v>
      </c>
      <c r="B19" s="17" t="s">
        <v>58</v>
      </c>
      <c r="C19" s="17" t="s">
        <v>57</v>
      </c>
      <c r="D19" s="17" t="s">
        <v>9</v>
      </c>
      <c r="E19" s="17" t="s">
        <v>59</v>
      </c>
      <c r="F19" s="17" t="s">
        <v>60</v>
      </c>
      <c r="G19" s="18" t="s">
        <v>11</v>
      </c>
      <c r="H19" s="18" t="s">
        <v>12</v>
      </c>
      <c r="I19" s="18" t="s">
        <v>13</v>
      </c>
      <c r="J19" s="18" t="s">
        <v>14</v>
      </c>
      <c r="K19" s="18" t="s">
        <v>15</v>
      </c>
    </row>
    <row r="20" spans="1:11" x14ac:dyDescent="0.2">
      <c r="A20" t="s">
        <v>16</v>
      </c>
      <c r="B20">
        <v>0.50900000000000001</v>
      </c>
      <c r="C20">
        <v>0.44</v>
      </c>
      <c r="D20">
        <f>AVERAGE(B20,C20)</f>
        <v>0.47450000000000003</v>
      </c>
      <c r="E20">
        <f>STDEV(B20,C20)</f>
        <v>4.8790367901871787E-2</v>
      </c>
      <c r="F20">
        <f>(E20/D20)*100</f>
        <v>10.282480063618921</v>
      </c>
      <c r="G20">
        <v>4</v>
      </c>
      <c r="H20">
        <f t="shared" ref="H20:H60" si="3">2.329*D20-0.2359</f>
        <v>0.86921050000000011</v>
      </c>
      <c r="I20">
        <f>H20*G20</f>
        <v>3.4768420000000004</v>
      </c>
      <c r="J20">
        <f>10/I20</f>
        <v>2.8761732629783001</v>
      </c>
      <c r="K20">
        <f>50/I20</f>
        <v>14.380866314891501</v>
      </c>
    </row>
    <row r="21" spans="1:11" x14ac:dyDescent="0.2">
      <c r="A21" t="s">
        <v>17</v>
      </c>
      <c r="B21">
        <v>0.57599999999999996</v>
      </c>
      <c r="C21">
        <v>0.54400000000000004</v>
      </c>
      <c r="D21">
        <f t="shared" ref="D21:D60" si="4">AVERAGE(B21,C21)</f>
        <v>0.56000000000000005</v>
      </c>
      <c r="E21">
        <f t="shared" ref="E21:E60" si="5">STDEV(B21,C21)</f>
        <v>2.2627416997969461E-2</v>
      </c>
      <c r="F21">
        <f t="shared" ref="F21:F60" si="6">(E21/D21)*100</f>
        <v>4.0406101782088317</v>
      </c>
      <c r="G21">
        <v>4</v>
      </c>
      <c r="H21">
        <f t="shared" si="3"/>
        <v>1.0683400000000003</v>
      </c>
      <c r="I21">
        <f t="shared" ref="I21:I60" si="7">H21*G21</f>
        <v>4.2733600000000012</v>
      </c>
      <c r="J21">
        <f t="shared" ref="J21:J60" si="8">10/I21</f>
        <v>2.3400790010670756</v>
      </c>
      <c r="K21">
        <f t="shared" ref="K21:K60" si="9">50/I21</f>
        <v>11.700395005335377</v>
      </c>
    </row>
    <row r="22" spans="1:11" x14ac:dyDescent="0.2">
      <c r="A22" t="s">
        <v>18</v>
      </c>
      <c r="B22">
        <v>0.22500000000000001</v>
      </c>
      <c r="C22">
        <v>0.19900000000000001</v>
      </c>
      <c r="D22">
        <f t="shared" si="4"/>
        <v>0.21200000000000002</v>
      </c>
      <c r="E22">
        <f t="shared" si="5"/>
        <v>1.8384776310850233E-2</v>
      </c>
      <c r="F22">
        <f t="shared" si="6"/>
        <v>8.6720642975708646</v>
      </c>
      <c r="G22">
        <v>4</v>
      </c>
      <c r="H22">
        <f t="shared" si="3"/>
        <v>0.25784800000000008</v>
      </c>
      <c r="I22">
        <f t="shared" si="7"/>
        <v>1.0313920000000003</v>
      </c>
      <c r="J22">
        <f t="shared" si="8"/>
        <v>9.6956346374608273</v>
      </c>
      <c r="K22">
        <f t="shared" si="9"/>
        <v>48.478173187304137</v>
      </c>
    </row>
    <row r="23" spans="1:11" x14ac:dyDescent="0.2">
      <c r="A23" t="s">
        <v>19</v>
      </c>
      <c r="B23">
        <v>0.32100000000000001</v>
      </c>
      <c r="C23">
        <v>0.29599999999999999</v>
      </c>
      <c r="D23">
        <f t="shared" si="4"/>
        <v>0.3085</v>
      </c>
      <c r="E23">
        <f t="shared" si="5"/>
        <v>1.7677669529663705E-2</v>
      </c>
      <c r="F23">
        <f t="shared" si="6"/>
        <v>5.7302008199882346</v>
      </c>
      <c r="G23">
        <v>4</v>
      </c>
      <c r="H23">
        <f t="shared" si="3"/>
        <v>0.48259650000000009</v>
      </c>
      <c r="I23">
        <f t="shared" si="7"/>
        <v>1.9303860000000004</v>
      </c>
      <c r="J23">
        <f t="shared" si="8"/>
        <v>5.1803110880414582</v>
      </c>
      <c r="K23">
        <f t="shared" si="9"/>
        <v>25.901555440207289</v>
      </c>
    </row>
    <row r="24" spans="1:11" x14ac:dyDescent="0.2">
      <c r="A24" t="s">
        <v>20</v>
      </c>
      <c r="B24">
        <v>0.438</v>
      </c>
      <c r="C24">
        <v>0.44800000000000001</v>
      </c>
      <c r="D24">
        <f t="shared" si="4"/>
        <v>0.443</v>
      </c>
      <c r="E24">
        <f t="shared" si="5"/>
        <v>7.0710678118654814E-3</v>
      </c>
      <c r="F24">
        <f t="shared" si="6"/>
        <v>1.5961778356355489</v>
      </c>
      <c r="G24">
        <v>4</v>
      </c>
      <c r="H24">
        <f t="shared" si="3"/>
        <v>0.79584700000000019</v>
      </c>
      <c r="I24">
        <f t="shared" si="7"/>
        <v>3.1833880000000008</v>
      </c>
      <c r="J24">
        <f t="shared" si="8"/>
        <v>3.1413073115812455</v>
      </c>
      <c r="K24">
        <f t="shared" si="9"/>
        <v>15.706536557906228</v>
      </c>
    </row>
    <row r="25" spans="1:11" x14ac:dyDescent="0.2">
      <c r="A25" t="s">
        <v>21</v>
      </c>
      <c r="B25">
        <v>0.54700000000000004</v>
      </c>
      <c r="C25">
        <v>0.52400000000000002</v>
      </c>
      <c r="D25">
        <f t="shared" si="4"/>
        <v>0.53550000000000009</v>
      </c>
      <c r="E25">
        <f t="shared" si="5"/>
        <v>1.6263455967290608E-2</v>
      </c>
      <c r="F25">
        <f t="shared" si="6"/>
        <v>3.0370599378693943</v>
      </c>
      <c r="G25">
        <v>4</v>
      </c>
      <c r="H25">
        <f t="shared" si="3"/>
        <v>1.0112795000000003</v>
      </c>
      <c r="I25">
        <f t="shared" si="7"/>
        <v>4.0451180000000013</v>
      </c>
      <c r="J25">
        <f t="shared" si="8"/>
        <v>2.4721157701703627</v>
      </c>
      <c r="K25">
        <f t="shared" si="9"/>
        <v>12.360578850851812</v>
      </c>
    </row>
    <row r="26" spans="1:11" x14ac:dyDescent="0.2">
      <c r="A26" t="s">
        <v>22</v>
      </c>
      <c r="B26">
        <v>0.45100000000000001</v>
      </c>
      <c r="C26">
        <v>0.36</v>
      </c>
      <c r="D26">
        <f t="shared" si="4"/>
        <v>0.40549999999999997</v>
      </c>
      <c r="E26">
        <f t="shared" si="5"/>
        <v>6.4346717087976193E-2</v>
      </c>
      <c r="F26">
        <f t="shared" si="6"/>
        <v>15.868487567934944</v>
      </c>
      <c r="G26">
        <v>4</v>
      </c>
      <c r="H26">
        <f t="shared" si="3"/>
        <v>0.70850950000000001</v>
      </c>
      <c r="I26">
        <f t="shared" si="7"/>
        <v>2.8340380000000001</v>
      </c>
      <c r="J26">
        <f t="shared" si="8"/>
        <v>3.5285341974948818</v>
      </c>
      <c r="K26">
        <f t="shared" si="9"/>
        <v>17.642670987474411</v>
      </c>
    </row>
    <row r="27" spans="1:11" x14ac:dyDescent="0.2">
      <c r="A27" t="s">
        <v>23</v>
      </c>
      <c r="B27">
        <v>0.59599999999999997</v>
      </c>
      <c r="C27">
        <v>0.53100000000000003</v>
      </c>
      <c r="D27">
        <f t="shared" si="4"/>
        <v>0.5635</v>
      </c>
      <c r="E27">
        <f t="shared" si="5"/>
        <v>4.5961940777125551E-2</v>
      </c>
      <c r="F27">
        <f t="shared" si="6"/>
        <v>8.1565112293035575</v>
      </c>
      <c r="G27">
        <v>4</v>
      </c>
      <c r="H27">
        <f t="shared" si="3"/>
        <v>1.0764915000000002</v>
      </c>
      <c r="I27">
        <f t="shared" si="7"/>
        <v>4.3059660000000006</v>
      </c>
      <c r="J27">
        <f t="shared" si="8"/>
        <v>2.322359256900774</v>
      </c>
      <c r="K27">
        <f t="shared" si="9"/>
        <v>11.611796284503871</v>
      </c>
    </row>
    <row r="28" spans="1:11" x14ac:dyDescent="0.2">
      <c r="A28" t="s">
        <v>24</v>
      </c>
      <c r="B28">
        <v>0.40200000000000002</v>
      </c>
      <c r="C28">
        <v>0.34899999999999998</v>
      </c>
      <c r="D28">
        <f t="shared" si="4"/>
        <v>0.3755</v>
      </c>
      <c r="E28">
        <f t="shared" si="5"/>
        <v>3.7476659402887053E-2</v>
      </c>
      <c r="F28">
        <f t="shared" si="6"/>
        <v>9.9804685493707197</v>
      </c>
      <c r="G28">
        <v>4</v>
      </c>
      <c r="H28">
        <f t="shared" si="3"/>
        <v>0.63863950000000003</v>
      </c>
      <c r="I28">
        <f t="shared" si="7"/>
        <v>2.5545580000000001</v>
      </c>
      <c r="J28">
        <f t="shared" si="8"/>
        <v>3.9145715227448346</v>
      </c>
      <c r="K28">
        <f t="shared" si="9"/>
        <v>19.572857613724175</v>
      </c>
    </row>
    <row r="29" spans="1:11" x14ac:dyDescent="0.2">
      <c r="A29" t="s">
        <v>25</v>
      </c>
      <c r="B29">
        <v>0.438</v>
      </c>
      <c r="C29">
        <v>0.39800000000000002</v>
      </c>
      <c r="D29">
        <f t="shared" si="4"/>
        <v>0.41800000000000004</v>
      </c>
      <c r="E29">
        <f t="shared" si="5"/>
        <v>2.8284271247461888E-2</v>
      </c>
      <c r="F29">
        <f t="shared" si="6"/>
        <v>6.7665720687707864</v>
      </c>
      <c r="G29">
        <v>4</v>
      </c>
      <c r="H29">
        <f t="shared" si="3"/>
        <v>0.73762200000000011</v>
      </c>
      <c r="I29">
        <f t="shared" si="7"/>
        <v>2.9504880000000004</v>
      </c>
      <c r="J29">
        <f t="shared" si="8"/>
        <v>3.3892698428192212</v>
      </c>
      <c r="K29">
        <f t="shared" si="9"/>
        <v>16.946349214096106</v>
      </c>
    </row>
    <row r="30" spans="1:11" x14ac:dyDescent="0.2">
      <c r="A30" t="s">
        <v>26</v>
      </c>
      <c r="B30">
        <v>0.16500000000000001</v>
      </c>
      <c r="C30">
        <v>0.152</v>
      </c>
      <c r="D30">
        <f t="shared" si="4"/>
        <v>0.1585</v>
      </c>
      <c r="E30">
        <f t="shared" si="5"/>
        <v>9.1923881554251269E-3</v>
      </c>
      <c r="F30">
        <f t="shared" si="6"/>
        <v>5.7996139781862004</v>
      </c>
      <c r="G30">
        <v>4</v>
      </c>
      <c r="H30">
        <f t="shared" si="3"/>
        <v>0.13324650000000005</v>
      </c>
      <c r="I30">
        <f t="shared" si="7"/>
        <v>0.53298600000000018</v>
      </c>
      <c r="J30">
        <f t="shared" si="8"/>
        <v>18.762218895055398</v>
      </c>
      <c r="K30">
        <f t="shared" si="9"/>
        <v>93.811094475276988</v>
      </c>
    </row>
    <row r="31" spans="1:11" x14ac:dyDescent="0.2">
      <c r="A31" t="s">
        <v>27</v>
      </c>
      <c r="B31">
        <v>0.30599999999999999</v>
      </c>
      <c r="C31">
        <v>0.28000000000000003</v>
      </c>
      <c r="D31">
        <f t="shared" si="4"/>
        <v>0.29300000000000004</v>
      </c>
      <c r="E31">
        <f t="shared" si="5"/>
        <v>1.8384776310850212E-2</v>
      </c>
      <c r="F31">
        <f t="shared" si="6"/>
        <v>6.2746676828840302</v>
      </c>
      <c r="G31">
        <v>4</v>
      </c>
      <c r="H31">
        <f t="shared" si="3"/>
        <v>0.44649700000000014</v>
      </c>
      <c r="I31">
        <f t="shared" si="7"/>
        <v>1.7859880000000006</v>
      </c>
      <c r="J31">
        <f t="shared" si="8"/>
        <v>5.599141763550481</v>
      </c>
      <c r="K31">
        <f t="shared" si="9"/>
        <v>27.995708817752405</v>
      </c>
    </row>
    <row r="32" spans="1:11" x14ac:dyDescent="0.2">
      <c r="A32" t="s">
        <v>28</v>
      </c>
      <c r="B32">
        <v>0.27100000000000002</v>
      </c>
      <c r="C32">
        <v>0.216</v>
      </c>
      <c r="D32">
        <f t="shared" si="4"/>
        <v>0.24349999999999999</v>
      </c>
      <c r="E32">
        <f t="shared" si="5"/>
        <v>3.8890872965260288E-2</v>
      </c>
      <c r="F32">
        <f t="shared" si="6"/>
        <v>15.971611074028866</v>
      </c>
      <c r="G32">
        <v>4</v>
      </c>
      <c r="H32">
        <f t="shared" si="3"/>
        <v>0.33121149999999999</v>
      </c>
      <c r="I32">
        <f t="shared" si="7"/>
        <v>1.324846</v>
      </c>
      <c r="J32">
        <f t="shared" si="8"/>
        <v>7.5480470937754278</v>
      </c>
      <c r="K32">
        <f t="shared" si="9"/>
        <v>37.740235468877138</v>
      </c>
    </row>
    <row r="33" spans="1:11" x14ac:dyDescent="0.2">
      <c r="A33" t="s">
        <v>29</v>
      </c>
      <c r="B33">
        <v>0.27500000000000002</v>
      </c>
      <c r="C33">
        <v>0.24399999999999999</v>
      </c>
      <c r="D33">
        <f t="shared" si="4"/>
        <v>0.25950000000000001</v>
      </c>
      <c r="E33">
        <f t="shared" si="5"/>
        <v>2.1920310216782993E-2</v>
      </c>
      <c r="F33">
        <f t="shared" si="6"/>
        <v>8.4471330315156035</v>
      </c>
      <c r="G33">
        <v>4</v>
      </c>
      <c r="H33">
        <f t="shared" si="3"/>
        <v>0.36847550000000007</v>
      </c>
      <c r="I33">
        <f t="shared" si="7"/>
        <v>1.4739020000000003</v>
      </c>
      <c r="J33">
        <f t="shared" si="8"/>
        <v>6.7847116022639211</v>
      </c>
      <c r="K33">
        <f t="shared" si="9"/>
        <v>33.923558011319606</v>
      </c>
    </row>
    <row r="34" spans="1:11" x14ac:dyDescent="0.2">
      <c r="A34" t="s">
        <v>30</v>
      </c>
      <c r="B34">
        <v>0.64800000000000002</v>
      </c>
      <c r="C34">
        <v>0.56100000000000005</v>
      </c>
      <c r="D34">
        <f t="shared" si="4"/>
        <v>0.60450000000000004</v>
      </c>
      <c r="E34">
        <f t="shared" si="5"/>
        <v>6.1518289963229611E-2</v>
      </c>
      <c r="F34">
        <f t="shared" si="6"/>
        <v>10.176722905414328</v>
      </c>
      <c r="G34">
        <v>4</v>
      </c>
      <c r="H34">
        <f t="shared" si="3"/>
        <v>1.1719805000000001</v>
      </c>
      <c r="I34">
        <f t="shared" si="7"/>
        <v>4.6879220000000004</v>
      </c>
      <c r="J34">
        <f t="shared" si="8"/>
        <v>2.1331412937331296</v>
      </c>
      <c r="K34">
        <f t="shared" si="9"/>
        <v>10.665706468665647</v>
      </c>
    </row>
    <row r="35" spans="1:11" x14ac:dyDescent="0.2">
      <c r="A35" t="s">
        <v>31</v>
      </c>
      <c r="B35">
        <v>0.57799999999999996</v>
      </c>
      <c r="C35">
        <v>0.52</v>
      </c>
      <c r="D35">
        <f t="shared" si="4"/>
        <v>0.54899999999999993</v>
      </c>
      <c r="E35">
        <f t="shared" si="5"/>
        <v>4.1012193308819715E-2</v>
      </c>
      <c r="F35">
        <f t="shared" si="6"/>
        <v>7.4703448649944839</v>
      </c>
      <c r="G35">
        <v>4</v>
      </c>
      <c r="H35">
        <f t="shared" si="3"/>
        <v>1.042721</v>
      </c>
      <c r="I35">
        <f t="shared" si="7"/>
        <v>4.170884</v>
      </c>
      <c r="J35">
        <f t="shared" si="8"/>
        <v>2.3975732722367726</v>
      </c>
      <c r="K35">
        <f t="shared" si="9"/>
        <v>11.987866361183864</v>
      </c>
    </row>
    <row r="36" spans="1:11" x14ac:dyDescent="0.2">
      <c r="A36" t="s">
        <v>32</v>
      </c>
      <c r="B36">
        <v>0.45600000000000002</v>
      </c>
      <c r="C36">
        <v>0.378</v>
      </c>
      <c r="D36">
        <f t="shared" si="4"/>
        <v>0.41700000000000004</v>
      </c>
      <c r="E36">
        <f t="shared" si="5"/>
        <v>5.5154328932550713E-2</v>
      </c>
      <c r="F36">
        <f t="shared" si="6"/>
        <v>13.226457777590097</v>
      </c>
      <c r="G36">
        <v>4</v>
      </c>
      <c r="H36">
        <f t="shared" si="3"/>
        <v>0.7352930000000002</v>
      </c>
      <c r="I36">
        <f t="shared" si="7"/>
        <v>2.9411720000000008</v>
      </c>
      <c r="J36">
        <f t="shared" si="8"/>
        <v>3.4000051680078545</v>
      </c>
      <c r="K36">
        <f t="shared" si="9"/>
        <v>17.000025840039271</v>
      </c>
    </row>
    <row r="37" spans="1:11" x14ac:dyDescent="0.2">
      <c r="A37" t="s">
        <v>33</v>
      </c>
      <c r="B37">
        <v>0.28299999999999997</v>
      </c>
      <c r="C37">
        <v>0.253</v>
      </c>
      <c r="D37">
        <f t="shared" si="4"/>
        <v>0.26800000000000002</v>
      </c>
      <c r="E37">
        <f t="shared" si="5"/>
        <v>2.1213203435596406E-2</v>
      </c>
      <c r="F37">
        <f t="shared" si="6"/>
        <v>7.9153744162673147</v>
      </c>
      <c r="G37">
        <v>4</v>
      </c>
      <c r="H37">
        <f t="shared" si="3"/>
        <v>0.38827200000000006</v>
      </c>
      <c r="I37">
        <f t="shared" si="7"/>
        <v>1.5530880000000002</v>
      </c>
      <c r="J37">
        <f t="shared" si="8"/>
        <v>6.4387851815222312</v>
      </c>
      <c r="K37">
        <f t="shared" si="9"/>
        <v>32.193925907611153</v>
      </c>
    </row>
    <row r="38" spans="1:11" x14ac:dyDescent="0.2">
      <c r="A38" t="s">
        <v>34</v>
      </c>
      <c r="B38">
        <v>0.499</v>
      </c>
      <c r="C38">
        <v>0.41199999999999998</v>
      </c>
      <c r="D38">
        <f t="shared" si="4"/>
        <v>0.45550000000000002</v>
      </c>
      <c r="E38">
        <f t="shared" si="5"/>
        <v>6.1518289963229653E-2</v>
      </c>
      <c r="F38">
        <f t="shared" si="6"/>
        <v>13.505661901916499</v>
      </c>
      <c r="G38">
        <v>4</v>
      </c>
      <c r="H38">
        <f t="shared" si="3"/>
        <v>0.82495950000000007</v>
      </c>
      <c r="I38">
        <f t="shared" si="7"/>
        <v>3.2998380000000003</v>
      </c>
      <c r="J38">
        <f t="shared" si="8"/>
        <v>3.0304517979367471</v>
      </c>
      <c r="K38">
        <f t="shared" si="9"/>
        <v>15.152258989683734</v>
      </c>
    </row>
    <row r="39" spans="1:11" x14ac:dyDescent="0.2">
      <c r="A39" t="s">
        <v>35</v>
      </c>
      <c r="B39">
        <v>0.45300000000000001</v>
      </c>
      <c r="C39">
        <v>0.41299999999999998</v>
      </c>
      <c r="D39">
        <f t="shared" si="4"/>
        <v>0.433</v>
      </c>
      <c r="E39">
        <f t="shared" si="5"/>
        <v>2.8284271247461926E-2</v>
      </c>
      <c r="F39">
        <f t="shared" si="6"/>
        <v>6.5321642603838157</v>
      </c>
      <c r="G39">
        <v>4</v>
      </c>
      <c r="H39">
        <f t="shared" si="3"/>
        <v>0.77255700000000016</v>
      </c>
      <c r="I39">
        <f t="shared" si="7"/>
        <v>3.0902280000000006</v>
      </c>
      <c r="J39">
        <f t="shared" si="8"/>
        <v>3.2360071813471363</v>
      </c>
      <c r="K39">
        <f t="shared" si="9"/>
        <v>16.180035906735682</v>
      </c>
    </row>
    <row r="40" spans="1:11" x14ac:dyDescent="0.2">
      <c r="A40" t="s">
        <v>36</v>
      </c>
      <c r="B40">
        <v>0.28699999999999998</v>
      </c>
      <c r="C40">
        <v>0.38600000000000001</v>
      </c>
      <c r="D40">
        <f t="shared" si="4"/>
        <v>0.33650000000000002</v>
      </c>
      <c r="E40">
        <f t="shared" si="5"/>
        <v>7.0003571337467818E-2</v>
      </c>
      <c r="F40">
        <f t="shared" si="6"/>
        <v>20.803438733274238</v>
      </c>
      <c r="G40">
        <v>4</v>
      </c>
      <c r="H40">
        <f t="shared" si="3"/>
        <v>0.54780850000000014</v>
      </c>
      <c r="I40">
        <f t="shared" si="7"/>
        <v>2.1912340000000006</v>
      </c>
      <c r="J40">
        <f t="shared" si="8"/>
        <v>4.5636385707779255</v>
      </c>
      <c r="K40">
        <f t="shared" si="9"/>
        <v>22.818192853889627</v>
      </c>
    </row>
    <row r="41" spans="1:11" x14ac:dyDescent="0.2">
      <c r="A41" t="s">
        <v>37</v>
      </c>
      <c r="B41">
        <v>0.39800000000000002</v>
      </c>
      <c r="C41">
        <v>0.38200000000000001</v>
      </c>
      <c r="D41">
        <f t="shared" si="4"/>
        <v>0.39</v>
      </c>
      <c r="E41">
        <f t="shared" si="5"/>
        <v>1.1313708498984771E-2</v>
      </c>
      <c r="F41">
        <f t="shared" si="6"/>
        <v>2.9009508971755822</v>
      </c>
      <c r="G41">
        <v>4</v>
      </c>
      <c r="H41">
        <f t="shared" si="3"/>
        <v>0.67241000000000006</v>
      </c>
      <c r="I41">
        <f t="shared" si="7"/>
        <v>2.6896400000000003</v>
      </c>
      <c r="J41">
        <f t="shared" si="8"/>
        <v>3.7179696911110778</v>
      </c>
      <c r="K41">
        <f t="shared" si="9"/>
        <v>18.589848455555387</v>
      </c>
    </row>
    <row r="42" spans="1:11" x14ac:dyDescent="0.2">
      <c r="A42" t="s">
        <v>38</v>
      </c>
      <c r="B42">
        <v>0.34300000000000003</v>
      </c>
      <c r="C42">
        <v>0.27100000000000002</v>
      </c>
      <c r="D42">
        <f t="shared" si="4"/>
        <v>0.30700000000000005</v>
      </c>
      <c r="E42">
        <f t="shared" si="5"/>
        <v>5.0911688245431255E-2</v>
      </c>
      <c r="F42">
        <f t="shared" si="6"/>
        <v>16.583611806329397</v>
      </c>
      <c r="G42">
        <v>4</v>
      </c>
      <c r="H42">
        <f t="shared" si="3"/>
        <v>0.47910300000000017</v>
      </c>
      <c r="I42">
        <f t="shared" si="7"/>
        <v>1.9164120000000007</v>
      </c>
      <c r="J42">
        <f t="shared" si="8"/>
        <v>5.2180846289837453</v>
      </c>
      <c r="K42">
        <f t="shared" si="9"/>
        <v>26.090423144918724</v>
      </c>
    </row>
    <row r="43" spans="1:11" x14ac:dyDescent="0.2">
      <c r="A43" t="s">
        <v>39</v>
      </c>
      <c r="B43">
        <v>0.45100000000000001</v>
      </c>
      <c r="C43">
        <v>0.39800000000000002</v>
      </c>
      <c r="D43">
        <f t="shared" si="4"/>
        <v>0.42449999999999999</v>
      </c>
      <c r="E43">
        <f t="shared" si="5"/>
        <v>3.7476659402887011E-2</v>
      </c>
      <c r="F43">
        <f t="shared" si="6"/>
        <v>8.8284238876058918</v>
      </c>
      <c r="G43">
        <v>4</v>
      </c>
      <c r="H43">
        <f t="shared" si="3"/>
        <v>0.75276050000000005</v>
      </c>
      <c r="I43">
        <f t="shared" si="7"/>
        <v>3.0110420000000002</v>
      </c>
      <c r="J43">
        <f t="shared" si="8"/>
        <v>3.3211094365339306</v>
      </c>
      <c r="K43">
        <f t="shared" si="9"/>
        <v>16.605547182669653</v>
      </c>
    </row>
    <row r="44" spans="1:11" x14ac:dyDescent="0.2">
      <c r="A44" t="s">
        <v>40</v>
      </c>
      <c r="B44">
        <v>0.35399999999999998</v>
      </c>
      <c r="C44">
        <v>0.34699999999999998</v>
      </c>
      <c r="D44">
        <f t="shared" si="4"/>
        <v>0.35049999999999998</v>
      </c>
      <c r="E44">
        <f t="shared" si="5"/>
        <v>4.9497474683058368E-3</v>
      </c>
      <c r="F44">
        <f t="shared" si="6"/>
        <v>1.4121961393169293</v>
      </c>
      <c r="G44">
        <v>4</v>
      </c>
      <c r="H44">
        <f t="shared" si="3"/>
        <v>0.58041450000000006</v>
      </c>
      <c r="I44">
        <f t="shared" si="7"/>
        <v>2.3216580000000002</v>
      </c>
      <c r="J44">
        <f t="shared" si="8"/>
        <v>4.3072666172192458</v>
      </c>
      <c r="K44">
        <f t="shared" si="9"/>
        <v>21.536333086096228</v>
      </c>
    </row>
    <row r="45" spans="1:11" x14ac:dyDescent="0.2">
      <c r="A45" t="s">
        <v>41</v>
      </c>
      <c r="B45">
        <v>0.52</v>
      </c>
      <c r="C45">
        <v>0.496</v>
      </c>
      <c r="D45">
        <f t="shared" si="4"/>
        <v>0.50800000000000001</v>
      </c>
      <c r="E45">
        <f t="shared" si="5"/>
        <v>1.6970562748477157E-2</v>
      </c>
      <c r="F45">
        <f t="shared" si="6"/>
        <v>3.340661958361645</v>
      </c>
      <c r="G45">
        <v>4</v>
      </c>
      <c r="H45">
        <f t="shared" si="3"/>
        <v>0.94723200000000007</v>
      </c>
      <c r="I45">
        <f t="shared" si="7"/>
        <v>3.7889280000000003</v>
      </c>
      <c r="J45">
        <f t="shared" si="8"/>
        <v>2.6392689436167696</v>
      </c>
      <c r="K45">
        <f t="shared" si="9"/>
        <v>13.196344718083848</v>
      </c>
    </row>
    <row r="46" spans="1:11" x14ac:dyDescent="0.2">
      <c r="A46" t="s">
        <v>42</v>
      </c>
      <c r="B46">
        <v>0.41299999999999998</v>
      </c>
      <c r="C46">
        <v>0.33900000000000002</v>
      </c>
      <c r="D46">
        <f t="shared" si="4"/>
        <v>0.376</v>
      </c>
      <c r="E46">
        <f t="shared" si="5"/>
        <v>5.2325901807804484E-2</v>
      </c>
      <c r="F46">
        <f t="shared" si="6"/>
        <v>13.916463246756511</v>
      </c>
      <c r="G46">
        <v>4</v>
      </c>
      <c r="H46">
        <f t="shared" si="3"/>
        <v>0.63980400000000004</v>
      </c>
      <c r="I46">
        <f t="shared" si="7"/>
        <v>2.5592160000000002</v>
      </c>
      <c r="J46">
        <f t="shared" si="8"/>
        <v>3.9074466555382585</v>
      </c>
      <c r="K46">
        <f t="shared" si="9"/>
        <v>19.537233277691293</v>
      </c>
    </row>
    <row r="47" spans="1:11" x14ac:dyDescent="0.2">
      <c r="A47" t="s">
        <v>43</v>
      </c>
      <c r="B47">
        <v>0.251</v>
      </c>
      <c r="C47">
        <v>0.222</v>
      </c>
      <c r="D47">
        <f t="shared" si="4"/>
        <v>0.23649999999999999</v>
      </c>
      <c r="E47">
        <f t="shared" si="5"/>
        <v>2.0506096654409878E-2</v>
      </c>
      <c r="F47">
        <f t="shared" si="6"/>
        <v>8.6706539764946626</v>
      </c>
      <c r="G47">
        <v>4</v>
      </c>
      <c r="H47">
        <f t="shared" si="3"/>
        <v>0.31490850000000004</v>
      </c>
      <c r="I47">
        <f t="shared" si="7"/>
        <v>1.2596340000000001</v>
      </c>
      <c r="J47">
        <f t="shared" si="8"/>
        <v>7.9388139729476963</v>
      </c>
      <c r="K47">
        <f t="shared" si="9"/>
        <v>39.694069864738481</v>
      </c>
    </row>
    <row r="48" spans="1:11" x14ac:dyDescent="0.2">
      <c r="A48" t="s">
        <v>44</v>
      </c>
      <c r="B48">
        <v>0.44</v>
      </c>
      <c r="C48">
        <v>0.36899999999999999</v>
      </c>
      <c r="D48">
        <f t="shared" si="4"/>
        <v>0.40449999999999997</v>
      </c>
      <c r="E48">
        <f t="shared" si="5"/>
        <v>5.0204581464244884E-2</v>
      </c>
      <c r="F48">
        <f t="shared" si="6"/>
        <v>12.411515813163136</v>
      </c>
      <c r="G48">
        <v>4</v>
      </c>
      <c r="H48">
        <f t="shared" si="3"/>
        <v>0.70618049999999999</v>
      </c>
      <c r="I48">
        <f t="shared" si="7"/>
        <v>2.824722</v>
      </c>
      <c r="J48">
        <f t="shared" si="8"/>
        <v>3.5401713867771769</v>
      </c>
      <c r="K48">
        <f t="shared" si="9"/>
        <v>17.700856933885884</v>
      </c>
    </row>
    <row r="49" spans="1:11" x14ac:dyDescent="0.2">
      <c r="A49" t="s">
        <v>45</v>
      </c>
      <c r="B49">
        <v>0.28499999999999998</v>
      </c>
      <c r="C49">
        <v>0.29399999999999998</v>
      </c>
      <c r="D49">
        <f t="shared" si="4"/>
        <v>0.28949999999999998</v>
      </c>
      <c r="E49">
        <f t="shared" si="5"/>
        <v>6.3639610306789329E-3</v>
      </c>
      <c r="F49">
        <f t="shared" si="6"/>
        <v>2.1982594233778698</v>
      </c>
      <c r="G49">
        <v>4</v>
      </c>
      <c r="H49">
        <f t="shared" si="3"/>
        <v>0.43834550000000005</v>
      </c>
      <c r="I49">
        <f t="shared" si="7"/>
        <v>1.7533820000000002</v>
      </c>
      <c r="J49">
        <f t="shared" si="8"/>
        <v>5.7032637497134102</v>
      </c>
      <c r="K49">
        <f t="shared" si="9"/>
        <v>28.516318748567052</v>
      </c>
    </row>
    <row r="50" spans="1:11" x14ac:dyDescent="0.2">
      <c r="A50" t="s">
        <v>46</v>
      </c>
      <c r="B50">
        <v>0.371</v>
      </c>
      <c r="C50">
        <v>0.32</v>
      </c>
      <c r="D50">
        <f t="shared" si="4"/>
        <v>0.34550000000000003</v>
      </c>
      <c r="E50">
        <f t="shared" si="5"/>
        <v>3.6062445840513921E-2</v>
      </c>
      <c r="F50">
        <f t="shared" si="6"/>
        <v>10.437755670192161</v>
      </c>
      <c r="G50">
        <v>4</v>
      </c>
      <c r="H50">
        <f t="shared" si="3"/>
        <v>0.56876950000000015</v>
      </c>
      <c r="I50">
        <f t="shared" si="7"/>
        <v>2.2750780000000006</v>
      </c>
      <c r="J50">
        <f t="shared" si="8"/>
        <v>4.3954536943348748</v>
      </c>
      <c r="K50">
        <f t="shared" si="9"/>
        <v>21.977268471674371</v>
      </c>
    </row>
    <row r="51" spans="1:11" x14ac:dyDescent="0.2">
      <c r="A51" t="s">
        <v>56</v>
      </c>
      <c r="B51">
        <v>0.41899999999999998</v>
      </c>
      <c r="C51">
        <v>0.371</v>
      </c>
      <c r="D51">
        <f t="shared" si="4"/>
        <v>0.39500000000000002</v>
      </c>
      <c r="E51">
        <f t="shared" si="5"/>
        <v>3.3941125496954272E-2</v>
      </c>
      <c r="F51">
        <f t="shared" si="6"/>
        <v>8.592689999228929</v>
      </c>
      <c r="G51">
        <v>4</v>
      </c>
      <c r="H51">
        <f t="shared" si="3"/>
        <v>0.68405500000000008</v>
      </c>
      <c r="I51">
        <f t="shared" si="7"/>
        <v>2.7362200000000003</v>
      </c>
      <c r="J51">
        <f t="shared" si="8"/>
        <v>3.654676890016153</v>
      </c>
      <c r="K51">
        <f t="shared" si="9"/>
        <v>18.273384450080766</v>
      </c>
    </row>
    <row r="52" spans="1:11" x14ac:dyDescent="0.2">
      <c r="A52" t="s">
        <v>47</v>
      </c>
      <c r="B52">
        <v>0.65400000000000003</v>
      </c>
      <c r="C52">
        <v>0.56399999999999995</v>
      </c>
      <c r="D52">
        <f t="shared" si="4"/>
        <v>0.60899999999999999</v>
      </c>
      <c r="E52">
        <f t="shared" si="5"/>
        <v>6.3639610306789343E-2</v>
      </c>
      <c r="F52">
        <f t="shared" si="6"/>
        <v>10.449853909160813</v>
      </c>
      <c r="G52">
        <v>4</v>
      </c>
      <c r="H52">
        <f t="shared" si="3"/>
        <v>1.182461</v>
      </c>
      <c r="I52">
        <f t="shared" si="7"/>
        <v>4.7298439999999999</v>
      </c>
      <c r="J52">
        <f t="shared" si="8"/>
        <v>2.1142346343769476</v>
      </c>
      <c r="K52">
        <f t="shared" si="9"/>
        <v>10.571173171884739</v>
      </c>
    </row>
    <row r="53" spans="1:11" x14ac:dyDescent="0.2">
      <c r="A53" t="s">
        <v>48</v>
      </c>
      <c r="B53">
        <v>0.44500000000000001</v>
      </c>
      <c r="C53">
        <v>0.40600000000000003</v>
      </c>
      <c r="D53">
        <f t="shared" si="4"/>
        <v>0.42549999999999999</v>
      </c>
      <c r="E53">
        <f t="shared" si="5"/>
        <v>2.7577164466275339E-2</v>
      </c>
      <c r="F53">
        <f t="shared" si="6"/>
        <v>6.4811197335547215</v>
      </c>
      <c r="G53">
        <v>4</v>
      </c>
      <c r="H53">
        <f t="shared" si="3"/>
        <v>0.75508950000000008</v>
      </c>
      <c r="I53">
        <f t="shared" si="7"/>
        <v>3.0203580000000003</v>
      </c>
      <c r="J53">
        <f t="shared" si="8"/>
        <v>3.3108657980279155</v>
      </c>
      <c r="K53">
        <f t="shared" si="9"/>
        <v>16.554328990139577</v>
      </c>
    </row>
    <row r="54" spans="1:11" x14ac:dyDescent="0.2">
      <c r="A54" t="s">
        <v>49</v>
      </c>
      <c r="B54">
        <v>0.71899999999999997</v>
      </c>
      <c r="C54">
        <v>0.64</v>
      </c>
      <c r="D54">
        <f t="shared" si="4"/>
        <v>0.67949999999999999</v>
      </c>
      <c r="E54">
        <f t="shared" si="5"/>
        <v>5.586143571373723E-2</v>
      </c>
      <c r="F54">
        <f t="shared" si="6"/>
        <v>8.2209618416096006</v>
      </c>
      <c r="G54">
        <v>4</v>
      </c>
      <c r="H54">
        <f t="shared" si="3"/>
        <v>1.3466555</v>
      </c>
      <c r="I54">
        <f t="shared" si="7"/>
        <v>5.386622</v>
      </c>
      <c r="J54">
        <f t="shared" si="8"/>
        <v>1.8564510374034042</v>
      </c>
      <c r="K54">
        <f t="shared" si="9"/>
        <v>9.2822551870170216</v>
      </c>
    </row>
    <row r="55" spans="1:11" x14ac:dyDescent="0.2">
      <c r="A55" t="s">
        <v>50</v>
      </c>
      <c r="B55">
        <v>0.73199999999999998</v>
      </c>
      <c r="C55">
        <v>0.67</v>
      </c>
      <c r="D55">
        <f t="shared" si="4"/>
        <v>0.70100000000000007</v>
      </c>
      <c r="E55">
        <f t="shared" si="5"/>
        <v>4.3840620433565909E-2</v>
      </c>
      <c r="F55">
        <f t="shared" si="6"/>
        <v>6.2540114741178181</v>
      </c>
      <c r="G55">
        <v>4</v>
      </c>
      <c r="H55">
        <f t="shared" si="3"/>
        <v>1.3967290000000003</v>
      </c>
      <c r="I55">
        <f t="shared" si="7"/>
        <v>5.5869160000000013</v>
      </c>
      <c r="J55">
        <f t="shared" si="8"/>
        <v>1.7898962504537383</v>
      </c>
      <c r="K55">
        <f t="shared" si="9"/>
        <v>8.9494812522686917</v>
      </c>
    </row>
    <row r="56" spans="1:11" x14ac:dyDescent="0.2">
      <c r="A56" t="s">
        <v>51</v>
      </c>
      <c r="B56">
        <v>0.70399999999999996</v>
      </c>
      <c r="C56">
        <v>0.63200000000000001</v>
      </c>
      <c r="D56">
        <f t="shared" si="4"/>
        <v>0.66799999999999993</v>
      </c>
      <c r="E56">
        <f t="shared" si="5"/>
        <v>5.0911688245431387E-2</v>
      </c>
      <c r="F56">
        <f t="shared" si="6"/>
        <v>7.621510216381945</v>
      </c>
      <c r="G56">
        <v>4</v>
      </c>
      <c r="H56">
        <f t="shared" si="3"/>
        <v>1.3198719999999999</v>
      </c>
      <c r="I56">
        <f t="shared" si="7"/>
        <v>5.2794879999999997</v>
      </c>
      <c r="J56">
        <f t="shared" si="8"/>
        <v>1.8941230664791737</v>
      </c>
      <c r="K56">
        <f t="shared" si="9"/>
        <v>9.4706153323958695</v>
      </c>
    </row>
    <row r="57" spans="1:11" x14ac:dyDescent="0.2">
      <c r="A57" t="s">
        <v>52</v>
      </c>
      <c r="B57">
        <v>0.754</v>
      </c>
      <c r="C57">
        <v>0.70299999999999996</v>
      </c>
      <c r="D57">
        <f t="shared" si="4"/>
        <v>0.72849999999999993</v>
      </c>
      <c r="E57">
        <f t="shared" si="5"/>
        <v>3.6062445840513956E-2</v>
      </c>
      <c r="F57">
        <f t="shared" si="6"/>
        <v>4.9502327852455679</v>
      </c>
      <c r="G57">
        <v>4</v>
      </c>
      <c r="H57">
        <f t="shared" si="3"/>
        <v>1.4607764999999999</v>
      </c>
      <c r="I57">
        <f t="shared" si="7"/>
        <v>5.8431059999999997</v>
      </c>
      <c r="J57">
        <f t="shared" si="8"/>
        <v>1.7114185503394941</v>
      </c>
      <c r="K57">
        <f t="shared" si="9"/>
        <v>8.5570927516974713</v>
      </c>
    </row>
    <row r="58" spans="1:11" x14ac:dyDescent="0.2">
      <c r="A58" t="s">
        <v>53</v>
      </c>
      <c r="B58">
        <v>0.64700000000000002</v>
      </c>
      <c r="C58">
        <v>0.52800000000000002</v>
      </c>
      <c r="D58">
        <f t="shared" si="4"/>
        <v>0.58750000000000002</v>
      </c>
      <c r="E58">
        <f t="shared" si="5"/>
        <v>8.414570696119876E-2</v>
      </c>
      <c r="F58">
        <f t="shared" si="6"/>
        <v>14.322673525310424</v>
      </c>
      <c r="G58">
        <v>4</v>
      </c>
      <c r="H58">
        <f t="shared" si="3"/>
        <v>1.1323875000000001</v>
      </c>
      <c r="I58">
        <f t="shared" si="7"/>
        <v>4.5295500000000004</v>
      </c>
      <c r="J58">
        <f t="shared" si="8"/>
        <v>2.2077248291772911</v>
      </c>
      <c r="K58">
        <f t="shared" si="9"/>
        <v>11.038624145886455</v>
      </c>
    </row>
    <row r="59" spans="1:11" x14ac:dyDescent="0.2">
      <c r="A59" t="s">
        <v>54</v>
      </c>
      <c r="B59">
        <v>0.42799999999999999</v>
      </c>
      <c r="C59">
        <v>0.36699999999999999</v>
      </c>
      <c r="D59">
        <f t="shared" si="4"/>
        <v>0.39749999999999996</v>
      </c>
      <c r="E59">
        <f t="shared" si="5"/>
        <v>4.3133513652379399E-2</v>
      </c>
      <c r="F59">
        <f t="shared" si="6"/>
        <v>10.851198403114315</v>
      </c>
      <c r="G59">
        <v>4</v>
      </c>
      <c r="H59">
        <f t="shared" si="3"/>
        <v>0.68987750000000003</v>
      </c>
      <c r="I59">
        <f t="shared" si="7"/>
        <v>2.7595100000000001</v>
      </c>
      <c r="J59">
        <f t="shared" si="8"/>
        <v>3.6238317672340377</v>
      </c>
      <c r="K59">
        <f t="shared" si="9"/>
        <v>18.11915883617019</v>
      </c>
    </row>
    <row r="60" spans="1:11" x14ac:dyDescent="0.2">
      <c r="A60" t="s">
        <v>55</v>
      </c>
      <c r="B60">
        <v>0.45600000000000002</v>
      </c>
      <c r="C60">
        <v>0.42199999999999999</v>
      </c>
      <c r="D60">
        <f t="shared" si="4"/>
        <v>0.439</v>
      </c>
      <c r="E60">
        <f t="shared" si="5"/>
        <v>2.4041630560342638E-2</v>
      </c>
      <c r="F60">
        <f t="shared" si="6"/>
        <v>5.4764534306019677</v>
      </c>
      <c r="G60">
        <v>4</v>
      </c>
      <c r="H60">
        <f t="shared" si="3"/>
        <v>0.78653100000000009</v>
      </c>
      <c r="I60">
        <f t="shared" si="7"/>
        <v>3.1461240000000004</v>
      </c>
      <c r="J60">
        <f t="shared" si="8"/>
        <v>3.178514260722082</v>
      </c>
      <c r="K60">
        <f t="shared" si="9"/>
        <v>15.892571303610408</v>
      </c>
    </row>
    <row r="61" spans="1:11" x14ac:dyDescent="0.2">
      <c r="E61" t="s">
        <v>73</v>
      </c>
      <c r="F61">
        <f>AVERAGE(F20:F60)</f>
        <v>8.6384151539470047</v>
      </c>
      <c r="H61" t="s">
        <v>71</v>
      </c>
      <c r="I61">
        <f>MAX(I20:I60)</f>
        <v>5.8431059999999997</v>
      </c>
    </row>
    <row r="62" spans="1:11" x14ac:dyDescent="0.2">
      <c r="H62" t="s">
        <v>72</v>
      </c>
      <c r="I62">
        <f>MIN(I20:I60)</f>
        <v>0.53298600000000018</v>
      </c>
    </row>
    <row r="63" spans="1:11" x14ac:dyDescent="0.2">
      <c r="H63" t="s">
        <v>73</v>
      </c>
      <c r="I63">
        <f>AVERAGE(I20:I60)</f>
        <v>3.0501237560975625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0DAFC-3F47-1640-B733-0D3BFFFBE21D}">
  <dimension ref="A1:L43"/>
  <sheetViews>
    <sheetView topLeftCell="C1" workbookViewId="0">
      <selection activeCell="J16" sqref="J16"/>
    </sheetView>
  </sheetViews>
  <sheetFormatPr baseColWidth="10" defaultRowHeight="15" x14ac:dyDescent="0.2"/>
  <cols>
    <col min="2" max="2" width="16.33203125" customWidth="1"/>
    <col min="5" max="5" width="13.6640625" customWidth="1"/>
    <col min="6" max="7" width="12.5" customWidth="1"/>
    <col min="9" max="9" width="3.1640625" style="30" bestFit="1" customWidth="1"/>
    <col min="11" max="11" width="15" customWidth="1"/>
  </cols>
  <sheetData>
    <row r="1" spans="1:12" x14ac:dyDescent="0.2">
      <c r="A1" s="17" t="s">
        <v>10</v>
      </c>
      <c r="B1" s="17" t="s">
        <v>15</v>
      </c>
      <c r="C1" s="17" t="s">
        <v>61</v>
      </c>
      <c r="E1" s="17" t="s">
        <v>62</v>
      </c>
      <c r="F1" s="17" t="s">
        <v>63</v>
      </c>
      <c r="G1" s="17"/>
      <c r="H1" s="37" t="s">
        <v>64</v>
      </c>
      <c r="I1" s="37"/>
      <c r="J1" s="37"/>
      <c r="K1" s="37"/>
      <c r="L1" s="37"/>
    </row>
    <row r="2" spans="1:12" ht="32" x14ac:dyDescent="0.2">
      <c r="A2" t="s">
        <v>16</v>
      </c>
      <c r="B2" s="21">
        <v>14.380866314891501</v>
      </c>
      <c r="C2" s="21">
        <f>100-B2</f>
        <v>85.619133685108494</v>
      </c>
      <c r="E2" s="21">
        <v>14.4</v>
      </c>
      <c r="F2" s="21">
        <f>100-E2</f>
        <v>85.6</v>
      </c>
      <c r="G2" s="21"/>
      <c r="I2" s="35" t="s">
        <v>70</v>
      </c>
      <c r="J2" s="27" t="s">
        <v>10</v>
      </c>
      <c r="K2" s="27" t="s">
        <v>65</v>
      </c>
      <c r="L2" s="27" t="s">
        <v>66</v>
      </c>
    </row>
    <row r="3" spans="1:12" x14ac:dyDescent="0.2">
      <c r="A3" t="s">
        <v>17</v>
      </c>
      <c r="B3" s="21">
        <v>11.700395005335377</v>
      </c>
      <c r="C3" s="21">
        <f t="shared" ref="C3:C42" si="0">100-B3</f>
        <v>88.29960499466462</v>
      </c>
      <c r="E3" s="21">
        <v>11.8</v>
      </c>
      <c r="F3" s="21">
        <f t="shared" ref="F3:F42" si="1">100-E3</f>
        <v>88.2</v>
      </c>
      <c r="G3" s="21"/>
      <c r="H3" s="36" t="s">
        <v>67</v>
      </c>
      <c r="I3" s="31">
        <v>1</v>
      </c>
      <c r="J3" s="17" t="s">
        <v>16</v>
      </c>
      <c r="K3" s="22">
        <v>14.4</v>
      </c>
      <c r="L3" s="22">
        <f>100-K3</f>
        <v>85.6</v>
      </c>
    </row>
    <row r="4" spans="1:12" x14ac:dyDescent="0.2">
      <c r="A4" t="s">
        <v>18</v>
      </c>
      <c r="B4" s="21">
        <v>48.478173187304137</v>
      </c>
      <c r="C4" s="21">
        <f t="shared" si="0"/>
        <v>51.521826812695863</v>
      </c>
      <c r="E4" s="21">
        <v>48.6</v>
      </c>
      <c r="F4" s="21">
        <f t="shared" si="1"/>
        <v>51.4</v>
      </c>
      <c r="G4" s="21"/>
      <c r="H4" s="36"/>
      <c r="I4" s="32">
        <v>2</v>
      </c>
      <c r="J4" s="23" t="s">
        <v>17</v>
      </c>
      <c r="K4" s="24">
        <v>11.8</v>
      </c>
      <c r="L4" s="24">
        <f t="shared" ref="L4:L43" si="2">100-K4</f>
        <v>88.2</v>
      </c>
    </row>
    <row r="5" spans="1:12" x14ac:dyDescent="0.2">
      <c r="A5" t="s">
        <v>19</v>
      </c>
      <c r="B5" s="21">
        <v>25.901555440207289</v>
      </c>
      <c r="C5" s="21">
        <f t="shared" si="0"/>
        <v>74.098444559792711</v>
      </c>
      <c r="E5" s="21">
        <v>26</v>
      </c>
      <c r="F5" s="21">
        <f t="shared" si="1"/>
        <v>74</v>
      </c>
      <c r="G5" s="21"/>
      <c r="H5" s="36"/>
      <c r="I5" s="31">
        <v>3</v>
      </c>
      <c r="J5" s="17" t="s">
        <v>18</v>
      </c>
      <c r="K5" s="22">
        <v>48.6</v>
      </c>
      <c r="L5" s="22">
        <f t="shared" si="2"/>
        <v>51.4</v>
      </c>
    </row>
    <row r="6" spans="1:12" x14ac:dyDescent="0.2">
      <c r="A6" t="s">
        <v>20</v>
      </c>
      <c r="B6" s="21">
        <v>15.706536557906228</v>
      </c>
      <c r="C6" s="21">
        <f t="shared" si="0"/>
        <v>84.293463442093767</v>
      </c>
      <c r="E6" s="21">
        <v>15.8</v>
      </c>
      <c r="F6" s="21">
        <f t="shared" si="1"/>
        <v>84.2</v>
      </c>
      <c r="G6" s="21"/>
      <c r="H6" s="36"/>
      <c r="I6" s="32">
        <v>4</v>
      </c>
      <c r="J6" s="23" t="s">
        <v>19</v>
      </c>
      <c r="K6" s="24">
        <v>26</v>
      </c>
      <c r="L6" s="24">
        <f t="shared" si="2"/>
        <v>74</v>
      </c>
    </row>
    <row r="7" spans="1:12" x14ac:dyDescent="0.2">
      <c r="A7" t="s">
        <v>21</v>
      </c>
      <c r="B7" s="21">
        <v>12.360578850851812</v>
      </c>
      <c r="C7" s="21">
        <f t="shared" si="0"/>
        <v>87.639421149148191</v>
      </c>
      <c r="E7" s="21">
        <v>12.4</v>
      </c>
      <c r="F7" s="21">
        <f t="shared" si="1"/>
        <v>87.6</v>
      </c>
      <c r="G7" s="21"/>
      <c r="H7" s="36"/>
      <c r="I7" s="31">
        <v>5</v>
      </c>
      <c r="J7" s="17" t="s">
        <v>20</v>
      </c>
      <c r="K7" s="22">
        <v>15.8</v>
      </c>
      <c r="L7" s="22">
        <f t="shared" si="2"/>
        <v>84.2</v>
      </c>
    </row>
    <row r="8" spans="1:12" x14ac:dyDescent="0.2">
      <c r="A8" t="s">
        <v>22</v>
      </c>
      <c r="B8" s="21">
        <v>17.642670987474411</v>
      </c>
      <c r="C8" s="21">
        <f t="shared" si="0"/>
        <v>82.357329012525582</v>
      </c>
      <c r="E8" s="21">
        <v>17.600000000000001</v>
      </c>
      <c r="F8" s="21">
        <f t="shared" si="1"/>
        <v>82.4</v>
      </c>
      <c r="G8" s="21"/>
      <c r="H8" s="36"/>
      <c r="I8" s="32">
        <v>6</v>
      </c>
      <c r="J8" s="23" t="s">
        <v>21</v>
      </c>
      <c r="K8" s="24">
        <v>12.4</v>
      </c>
      <c r="L8" s="24">
        <f t="shared" si="2"/>
        <v>87.6</v>
      </c>
    </row>
    <row r="9" spans="1:12" x14ac:dyDescent="0.2">
      <c r="A9" t="s">
        <v>23</v>
      </c>
      <c r="B9" s="21">
        <v>11.611796284503871</v>
      </c>
      <c r="C9" s="21">
        <f t="shared" si="0"/>
        <v>88.388203715496132</v>
      </c>
      <c r="E9" s="21">
        <v>11.6</v>
      </c>
      <c r="F9" s="21">
        <f t="shared" si="1"/>
        <v>88.4</v>
      </c>
      <c r="G9" s="21"/>
      <c r="H9" s="36"/>
      <c r="I9" s="31">
        <v>7</v>
      </c>
      <c r="J9" s="17" t="s">
        <v>22</v>
      </c>
      <c r="K9" s="22">
        <v>17.600000000000001</v>
      </c>
      <c r="L9" s="22">
        <f t="shared" si="2"/>
        <v>82.4</v>
      </c>
    </row>
    <row r="10" spans="1:12" x14ac:dyDescent="0.2">
      <c r="A10" t="s">
        <v>24</v>
      </c>
      <c r="B10" s="21">
        <v>19.572857613724175</v>
      </c>
      <c r="C10" s="21">
        <f t="shared" si="0"/>
        <v>80.427142386275818</v>
      </c>
      <c r="E10" s="21">
        <v>19.600000000000001</v>
      </c>
      <c r="F10" s="21">
        <f t="shared" si="1"/>
        <v>80.400000000000006</v>
      </c>
      <c r="G10" s="21"/>
      <c r="H10" s="36"/>
      <c r="I10" s="32">
        <v>8</v>
      </c>
      <c r="J10" s="23" t="s">
        <v>23</v>
      </c>
      <c r="K10" s="24">
        <v>11.6</v>
      </c>
      <c r="L10" s="24">
        <f t="shared" si="2"/>
        <v>88.4</v>
      </c>
    </row>
    <row r="11" spans="1:12" x14ac:dyDescent="0.2">
      <c r="A11" t="s">
        <v>25</v>
      </c>
      <c r="B11" s="21">
        <v>16.946349214096106</v>
      </c>
      <c r="C11" s="21">
        <f t="shared" si="0"/>
        <v>83.053650785903898</v>
      </c>
      <c r="E11" s="21">
        <v>17</v>
      </c>
      <c r="F11" s="21">
        <f t="shared" si="1"/>
        <v>83</v>
      </c>
      <c r="G11" s="21"/>
      <c r="H11" s="36"/>
      <c r="I11" s="31">
        <v>9</v>
      </c>
      <c r="J11" s="17" t="s">
        <v>24</v>
      </c>
      <c r="K11" s="22">
        <v>19.600000000000001</v>
      </c>
      <c r="L11" s="22">
        <f t="shared" si="2"/>
        <v>80.400000000000006</v>
      </c>
    </row>
    <row r="12" spans="1:12" x14ac:dyDescent="0.2">
      <c r="A12" t="s">
        <v>26</v>
      </c>
      <c r="B12" s="21">
        <v>93.811094475276988</v>
      </c>
      <c r="C12" s="21">
        <f t="shared" si="0"/>
        <v>6.1889055247230118</v>
      </c>
      <c r="E12" s="21">
        <v>93.811094475276988</v>
      </c>
      <c r="F12" s="21">
        <f t="shared" si="1"/>
        <v>6.1889055247230118</v>
      </c>
      <c r="G12" s="21"/>
      <c r="H12" s="36"/>
      <c r="I12" s="32">
        <v>10</v>
      </c>
      <c r="J12" s="23" t="s">
        <v>25</v>
      </c>
      <c r="K12" s="24">
        <v>17</v>
      </c>
      <c r="L12" s="24">
        <f t="shared" si="2"/>
        <v>83</v>
      </c>
    </row>
    <row r="13" spans="1:12" x14ac:dyDescent="0.2">
      <c r="A13" t="s">
        <v>27</v>
      </c>
      <c r="B13" s="21">
        <v>27.995708817752405</v>
      </c>
      <c r="C13" s="21">
        <f t="shared" si="0"/>
        <v>72.004291182247599</v>
      </c>
      <c r="E13" s="21">
        <v>27.995708817752405</v>
      </c>
      <c r="F13" s="21">
        <f t="shared" si="1"/>
        <v>72.004291182247599</v>
      </c>
      <c r="G13" s="21"/>
      <c r="H13" s="36"/>
      <c r="I13" s="31">
        <v>11</v>
      </c>
      <c r="J13" s="17" t="s">
        <v>26</v>
      </c>
      <c r="K13" s="22">
        <v>93.811094475276988</v>
      </c>
      <c r="L13" s="22">
        <f t="shared" si="2"/>
        <v>6.1889055247230118</v>
      </c>
    </row>
    <row r="14" spans="1:12" x14ac:dyDescent="0.2">
      <c r="A14" t="s">
        <v>28</v>
      </c>
      <c r="B14" s="21">
        <v>37.740235468877138</v>
      </c>
      <c r="C14" s="21">
        <f t="shared" si="0"/>
        <v>62.259764531122862</v>
      </c>
      <c r="E14" s="21">
        <v>37.78</v>
      </c>
      <c r="F14" s="21">
        <f t="shared" si="1"/>
        <v>62.22</v>
      </c>
      <c r="G14" s="21"/>
      <c r="H14" s="36"/>
      <c r="I14" s="32">
        <v>12</v>
      </c>
      <c r="J14" s="23" t="s">
        <v>27</v>
      </c>
      <c r="K14" s="24">
        <v>27.995708817752405</v>
      </c>
      <c r="L14" s="24">
        <f t="shared" si="2"/>
        <v>72.004291182247599</v>
      </c>
    </row>
    <row r="15" spans="1:12" x14ac:dyDescent="0.2">
      <c r="A15" t="s">
        <v>29</v>
      </c>
      <c r="B15" s="21">
        <v>33.923558011319606</v>
      </c>
      <c r="C15" s="21">
        <f t="shared" si="0"/>
        <v>66.076441988680386</v>
      </c>
      <c r="E15" s="21">
        <v>34</v>
      </c>
      <c r="F15" s="21">
        <f t="shared" si="1"/>
        <v>66</v>
      </c>
      <c r="G15" s="21"/>
      <c r="H15" s="36"/>
      <c r="I15" s="31">
        <v>13</v>
      </c>
      <c r="J15" s="17" t="s">
        <v>28</v>
      </c>
      <c r="K15" s="22">
        <v>37.78</v>
      </c>
      <c r="L15" s="22">
        <f t="shared" si="2"/>
        <v>62.22</v>
      </c>
    </row>
    <row r="16" spans="1:12" x14ac:dyDescent="0.2">
      <c r="A16" t="s">
        <v>30</v>
      </c>
      <c r="B16" s="21">
        <v>10.665706468665647</v>
      </c>
      <c r="C16" s="21">
        <f t="shared" si="0"/>
        <v>89.334293531334353</v>
      </c>
      <c r="E16" s="21">
        <v>10.8</v>
      </c>
      <c r="F16" s="21">
        <f t="shared" si="1"/>
        <v>89.2</v>
      </c>
      <c r="G16" s="21"/>
      <c r="H16" s="36"/>
      <c r="I16" s="34">
        <v>14</v>
      </c>
      <c r="J16" s="25" t="s">
        <v>29</v>
      </c>
      <c r="K16" s="26">
        <v>34</v>
      </c>
      <c r="L16" s="26">
        <f t="shared" si="2"/>
        <v>66</v>
      </c>
    </row>
    <row r="17" spans="1:12" x14ac:dyDescent="0.2">
      <c r="A17" t="s">
        <v>31</v>
      </c>
      <c r="B17" s="21">
        <v>11.987866361183864</v>
      </c>
      <c r="C17" s="21">
        <f t="shared" si="0"/>
        <v>88.012133638816138</v>
      </c>
      <c r="E17" s="21">
        <v>11.987866361183864</v>
      </c>
      <c r="F17" s="21">
        <f t="shared" si="1"/>
        <v>88.012133638816138</v>
      </c>
      <c r="G17" s="21"/>
      <c r="H17" s="36" t="s">
        <v>68</v>
      </c>
      <c r="I17" s="31">
        <v>15</v>
      </c>
      <c r="J17" s="17" t="s">
        <v>30</v>
      </c>
      <c r="K17" s="22">
        <v>10.8</v>
      </c>
      <c r="L17" s="22">
        <f t="shared" si="2"/>
        <v>89.2</v>
      </c>
    </row>
    <row r="18" spans="1:12" x14ac:dyDescent="0.2">
      <c r="A18" t="s">
        <v>32</v>
      </c>
      <c r="B18" s="21">
        <v>17.000025840039271</v>
      </c>
      <c r="C18" s="21">
        <f t="shared" si="0"/>
        <v>82.999974159960729</v>
      </c>
      <c r="E18" s="21">
        <v>17.000025840039271</v>
      </c>
      <c r="F18" s="21">
        <f t="shared" si="1"/>
        <v>82.999974159960729</v>
      </c>
      <c r="G18" s="21"/>
      <c r="H18" s="36"/>
      <c r="I18" s="32">
        <v>16</v>
      </c>
      <c r="J18" s="23" t="s">
        <v>31</v>
      </c>
      <c r="K18" s="24">
        <v>11.987866361183864</v>
      </c>
      <c r="L18" s="24">
        <f t="shared" si="2"/>
        <v>88.012133638816138</v>
      </c>
    </row>
    <row r="19" spans="1:12" x14ac:dyDescent="0.2">
      <c r="A19" t="s">
        <v>33</v>
      </c>
      <c r="B19" s="21">
        <v>32.193925907611153</v>
      </c>
      <c r="C19" s="21">
        <f t="shared" si="0"/>
        <v>67.806074092388855</v>
      </c>
      <c r="E19" s="21">
        <v>32.193925907611153</v>
      </c>
      <c r="F19" s="21">
        <f t="shared" si="1"/>
        <v>67.806074092388855</v>
      </c>
      <c r="G19" s="21"/>
      <c r="H19" s="36"/>
      <c r="I19" s="31">
        <v>17</v>
      </c>
      <c r="J19" s="17" t="s">
        <v>32</v>
      </c>
      <c r="K19" s="22">
        <v>17.000025840039271</v>
      </c>
      <c r="L19" s="22">
        <f t="shared" si="2"/>
        <v>82.999974159960729</v>
      </c>
    </row>
    <row r="20" spans="1:12" x14ac:dyDescent="0.2">
      <c r="A20" t="s">
        <v>34</v>
      </c>
      <c r="B20" s="21">
        <v>15.152258989683734</v>
      </c>
      <c r="C20" s="21">
        <f t="shared" si="0"/>
        <v>84.84774101031627</v>
      </c>
      <c r="E20" s="21">
        <v>15.152258989683734</v>
      </c>
      <c r="F20" s="21">
        <f t="shared" si="1"/>
        <v>84.84774101031627</v>
      </c>
      <c r="G20" s="21"/>
      <c r="H20" s="36"/>
      <c r="I20" s="32">
        <v>18</v>
      </c>
      <c r="J20" s="23" t="s">
        <v>33</v>
      </c>
      <c r="K20" s="24">
        <v>32.193925907611153</v>
      </c>
      <c r="L20" s="24">
        <f t="shared" si="2"/>
        <v>67.806074092388855</v>
      </c>
    </row>
    <row r="21" spans="1:12" x14ac:dyDescent="0.2">
      <c r="A21" t="s">
        <v>35</v>
      </c>
      <c r="B21" s="21">
        <v>16.180035906735682</v>
      </c>
      <c r="C21" s="21">
        <f t="shared" si="0"/>
        <v>83.819964093264318</v>
      </c>
      <c r="E21" s="21">
        <v>16.180035906735682</v>
      </c>
      <c r="F21" s="21">
        <f t="shared" si="1"/>
        <v>83.819964093264318</v>
      </c>
      <c r="G21" s="21"/>
      <c r="H21" s="36"/>
      <c r="I21" s="31">
        <v>19</v>
      </c>
      <c r="J21" s="17" t="s">
        <v>34</v>
      </c>
      <c r="K21" s="22">
        <v>15.152258989683734</v>
      </c>
      <c r="L21" s="22">
        <f t="shared" si="2"/>
        <v>84.84774101031627</v>
      </c>
    </row>
    <row r="22" spans="1:12" x14ac:dyDescent="0.2">
      <c r="A22" t="s">
        <v>36</v>
      </c>
      <c r="B22" s="21">
        <v>22.818192853889627</v>
      </c>
      <c r="C22" s="21">
        <f t="shared" si="0"/>
        <v>77.181807146110373</v>
      </c>
      <c r="E22" s="21">
        <v>22.818192853889627</v>
      </c>
      <c r="F22" s="21">
        <f t="shared" si="1"/>
        <v>77.181807146110373</v>
      </c>
      <c r="G22" s="21"/>
      <c r="H22" s="36"/>
      <c r="I22" s="32">
        <v>20</v>
      </c>
      <c r="J22" s="23" t="s">
        <v>35</v>
      </c>
      <c r="K22" s="24">
        <v>16.180035906735682</v>
      </c>
      <c r="L22" s="24">
        <f t="shared" si="2"/>
        <v>83.819964093264318</v>
      </c>
    </row>
    <row r="23" spans="1:12" x14ac:dyDescent="0.2">
      <c r="A23" t="s">
        <v>37</v>
      </c>
      <c r="B23" s="21">
        <v>18.589848455555387</v>
      </c>
      <c r="C23" s="21">
        <f t="shared" si="0"/>
        <v>81.410151544444616</v>
      </c>
      <c r="E23" s="21">
        <v>18.589848455555387</v>
      </c>
      <c r="F23" s="21">
        <f t="shared" si="1"/>
        <v>81.410151544444616</v>
      </c>
      <c r="G23" s="21"/>
      <c r="H23" s="36"/>
      <c r="I23" s="31">
        <v>21</v>
      </c>
      <c r="J23" s="17" t="s">
        <v>36</v>
      </c>
      <c r="K23" s="22">
        <v>22.818192853889627</v>
      </c>
      <c r="L23" s="22">
        <f t="shared" si="2"/>
        <v>77.181807146110373</v>
      </c>
    </row>
    <row r="24" spans="1:12" x14ac:dyDescent="0.2">
      <c r="A24" t="s">
        <v>38</v>
      </c>
      <c r="B24" s="21">
        <v>26.090423144918724</v>
      </c>
      <c r="C24" s="21">
        <f t="shared" si="0"/>
        <v>73.909576855081269</v>
      </c>
      <c r="E24" s="21">
        <v>26.2</v>
      </c>
      <c r="F24" s="21">
        <f t="shared" si="1"/>
        <v>73.8</v>
      </c>
      <c r="G24" s="21"/>
      <c r="H24" s="36"/>
      <c r="I24" s="32">
        <v>22</v>
      </c>
      <c r="J24" s="23" t="s">
        <v>37</v>
      </c>
      <c r="K24" s="24">
        <v>18.589848455555387</v>
      </c>
      <c r="L24" s="24">
        <f t="shared" si="2"/>
        <v>81.410151544444616</v>
      </c>
    </row>
    <row r="25" spans="1:12" x14ac:dyDescent="0.2">
      <c r="A25" t="s">
        <v>39</v>
      </c>
      <c r="B25" s="21">
        <v>16.605547182669653</v>
      </c>
      <c r="C25" s="21">
        <f t="shared" si="0"/>
        <v>83.394452817330347</v>
      </c>
      <c r="E25" s="21">
        <v>16.605547182669653</v>
      </c>
      <c r="F25" s="21">
        <f t="shared" si="1"/>
        <v>83.394452817330347</v>
      </c>
      <c r="G25" s="21"/>
      <c r="H25" s="36"/>
      <c r="I25" s="31">
        <v>23</v>
      </c>
      <c r="J25" s="17" t="s">
        <v>38</v>
      </c>
      <c r="K25" s="22">
        <v>26.2</v>
      </c>
      <c r="L25" s="22">
        <f t="shared" si="2"/>
        <v>73.8</v>
      </c>
    </row>
    <row r="26" spans="1:12" x14ac:dyDescent="0.2">
      <c r="A26" t="s">
        <v>40</v>
      </c>
      <c r="B26" s="21">
        <v>21.536333086096228</v>
      </c>
      <c r="C26" s="21">
        <f t="shared" si="0"/>
        <v>78.463666913903779</v>
      </c>
      <c r="E26" s="21">
        <v>21.6</v>
      </c>
      <c r="F26" s="21">
        <f t="shared" si="1"/>
        <v>78.400000000000006</v>
      </c>
      <c r="G26" s="21"/>
      <c r="H26" s="36"/>
      <c r="I26" s="32">
        <v>24</v>
      </c>
      <c r="J26" s="23" t="s">
        <v>39</v>
      </c>
      <c r="K26" s="24">
        <v>16.605547182669653</v>
      </c>
      <c r="L26" s="24">
        <f t="shared" si="2"/>
        <v>83.394452817330347</v>
      </c>
    </row>
    <row r="27" spans="1:12" x14ac:dyDescent="0.2">
      <c r="A27" t="s">
        <v>41</v>
      </c>
      <c r="B27" s="21">
        <v>13.196344718083848</v>
      </c>
      <c r="C27" s="21">
        <f t="shared" si="0"/>
        <v>86.80365528191615</v>
      </c>
      <c r="E27" s="21">
        <v>13.196344718083848</v>
      </c>
      <c r="F27" s="21">
        <f t="shared" si="1"/>
        <v>86.80365528191615</v>
      </c>
      <c r="G27" s="21"/>
      <c r="H27" s="36"/>
      <c r="I27" s="31">
        <v>25</v>
      </c>
      <c r="J27" s="17" t="s">
        <v>40</v>
      </c>
      <c r="K27" s="22">
        <v>21.6</v>
      </c>
      <c r="L27" s="22">
        <f t="shared" si="2"/>
        <v>78.400000000000006</v>
      </c>
    </row>
    <row r="28" spans="1:12" x14ac:dyDescent="0.2">
      <c r="A28" t="s">
        <v>42</v>
      </c>
      <c r="B28" s="21">
        <v>19.537233277691293</v>
      </c>
      <c r="C28" s="21">
        <f t="shared" si="0"/>
        <v>80.462766722308714</v>
      </c>
      <c r="E28" s="21">
        <v>19.600000000000001</v>
      </c>
      <c r="F28" s="21">
        <f t="shared" si="1"/>
        <v>80.400000000000006</v>
      </c>
      <c r="G28" s="21"/>
      <c r="H28" s="36"/>
      <c r="I28" s="32">
        <v>26</v>
      </c>
      <c r="J28" s="23" t="s">
        <v>41</v>
      </c>
      <c r="K28" s="24">
        <v>13.196344718083848</v>
      </c>
      <c r="L28" s="24">
        <f t="shared" si="2"/>
        <v>86.80365528191615</v>
      </c>
    </row>
    <row r="29" spans="1:12" x14ac:dyDescent="0.2">
      <c r="A29" t="s">
        <v>43</v>
      </c>
      <c r="B29" s="21">
        <v>39.694069864738481</v>
      </c>
      <c r="C29" s="21">
        <f t="shared" si="0"/>
        <v>60.305930135261519</v>
      </c>
      <c r="E29" s="21">
        <v>39.799999999999997</v>
      </c>
      <c r="F29" s="21">
        <f t="shared" si="1"/>
        <v>60.2</v>
      </c>
      <c r="G29" s="21"/>
      <c r="H29" s="36"/>
      <c r="I29" s="31">
        <v>27</v>
      </c>
      <c r="J29" s="17" t="s">
        <v>42</v>
      </c>
      <c r="K29" s="22">
        <v>19.600000000000001</v>
      </c>
      <c r="L29" s="22">
        <f t="shared" si="2"/>
        <v>80.400000000000006</v>
      </c>
    </row>
    <row r="30" spans="1:12" x14ac:dyDescent="0.2">
      <c r="A30" t="s">
        <v>44</v>
      </c>
      <c r="B30" s="21">
        <v>17.700856933885884</v>
      </c>
      <c r="C30" s="21">
        <f t="shared" si="0"/>
        <v>82.299143066114112</v>
      </c>
      <c r="E30" s="21">
        <v>17.8</v>
      </c>
      <c r="F30" s="21">
        <f t="shared" si="1"/>
        <v>82.2</v>
      </c>
      <c r="G30" s="21"/>
      <c r="H30" s="36"/>
      <c r="I30" s="32">
        <v>28</v>
      </c>
      <c r="J30" s="23" t="s">
        <v>43</v>
      </c>
      <c r="K30" s="24">
        <v>39.799999999999997</v>
      </c>
      <c r="L30" s="24">
        <f t="shared" si="2"/>
        <v>60.2</v>
      </c>
    </row>
    <row r="31" spans="1:12" x14ac:dyDescent="0.2">
      <c r="A31" t="s">
        <v>45</v>
      </c>
      <c r="B31" s="21">
        <v>28.516318748567052</v>
      </c>
      <c r="C31" s="21">
        <f t="shared" si="0"/>
        <v>71.483681251432955</v>
      </c>
      <c r="E31" s="21">
        <v>28.6</v>
      </c>
      <c r="F31" s="21">
        <f t="shared" si="1"/>
        <v>71.400000000000006</v>
      </c>
      <c r="G31" s="21"/>
      <c r="H31" s="36"/>
      <c r="I31" s="31">
        <v>29</v>
      </c>
      <c r="J31" s="17" t="s">
        <v>44</v>
      </c>
      <c r="K31" s="22">
        <v>17.8</v>
      </c>
      <c r="L31" s="22">
        <f t="shared" si="2"/>
        <v>82.2</v>
      </c>
    </row>
    <row r="32" spans="1:12" x14ac:dyDescent="0.2">
      <c r="A32" t="s">
        <v>46</v>
      </c>
      <c r="B32" s="21">
        <v>21.977268471674371</v>
      </c>
      <c r="C32" s="21">
        <f t="shared" si="0"/>
        <v>78.022731528325636</v>
      </c>
      <c r="E32" s="21">
        <v>21.977268471674371</v>
      </c>
      <c r="F32" s="21">
        <f t="shared" si="1"/>
        <v>78.022731528325636</v>
      </c>
      <c r="G32" s="21"/>
      <c r="H32" s="36"/>
      <c r="I32" s="32">
        <v>30</v>
      </c>
      <c r="J32" s="23" t="s">
        <v>45</v>
      </c>
      <c r="K32" s="24">
        <v>28.6</v>
      </c>
      <c r="L32" s="24">
        <f t="shared" si="2"/>
        <v>71.400000000000006</v>
      </c>
    </row>
    <row r="33" spans="1:12" x14ac:dyDescent="0.2">
      <c r="A33" t="s">
        <v>56</v>
      </c>
      <c r="B33" s="21">
        <v>18.273384450080766</v>
      </c>
      <c r="C33" s="21">
        <f t="shared" si="0"/>
        <v>81.726615549919231</v>
      </c>
      <c r="E33" s="21">
        <v>18.399999999999999</v>
      </c>
      <c r="F33" s="21">
        <f t="shared" si="1"/>
        <v>81.599999999999994</v>
      </c>
      <c r="G33" s="21"/>
      <c r="H33" s="36"/>
      <c r="I33" s="33">
        <v>31</v>
      </c>
      <c r="J33" s="28" t="s">
        <v>46</v>
      </c>
      <c r="K33" s="29">
        <v>21.977268471674371</v>
      </c>
      <c r="L33" s="29">
        <f t="shared" si="2"/>
        <v>78.022731528325636</v>
      </c>
    </row>
    <row r="34" spans="1:12" x14ac:dyDescent="0.2">
      <c r="A34" t="s">
        <v>47</v>
      </c>
      <c r="B34" s="21">
        <v>10.571173171884739</v>
      </c>
      <c r="C34" s="21">
        <f t="shared" si="0"/>
        <v>89.428826828115263</v>
      </c>
      <c r="E34" s="21">
        <v>10.571173171884739</v>
      </c>
      <c r="F34" s="21">
        <f t="shared" si="1"/>
        <v>89.428826828115263</v>
      </c>
      <c r="G34" s="21"/>
      <c r="H34" s="36" t="s">
        <v>69</v>
      </c>
      <c r="I34" s="32">
        <v>32</v>
      </c>
      <c r="J34" s="23" t="s">
        <v>56</v>
      </c>
      <c r="K34" s="24">
        <v>18.399999999999999</v>
      </c>
      <c r="L34" s="24">
        <f t="shared" si="2"/>
        <v>81.599999999999994</v>
      </c>
    </row>
    <row r="35" spans="1:12" x14ac:dyDescent="0.2">
      <c r="A35" t="s">
        <v>48</v>
      </c>
      <c r="B35" s="21">
        <v>16.554328990139577</v>
      </c>
      <c r="C35" s="21">
        <f t="shared" si="0"/>
        <v>83.445671009860419</v>
      </c>
      <c r="E35" s="21">
        <v>16.554328990139577</v>
      </c>
      <c r="F35" s="21">
        <f t="shared" si="1"/>
        <v>83.445671009860419</v>
      </c>
      <c r="G35" s="21"/>
      <c r="H35" s="36"/>
      <c r="I35" s="31">
        <v>33</v>
      </c>
      <c r="J35" s="17" t="s">
        <v>47</v>
      </c>
      <c r="K35" s="22">
        <v>10.571173171884739</v>
      </c>
      <c r="L35" s="22">
        <f t="shared" si="2"/>
        <v>89.428826828115263</v>
      </c>
    </row>
    <row r="36" spans="1:12" x14ac:dyDescent="0.2">
      <c r="A36" t="s">
        <v>49</v>
      </c>
      <c r="B36" s="21">
        <v>9.2822551870170216</v>
      </c>
      <c r="C36" s="21">
        <f t="shared" si="0"/>
        <v>90.717744812982971</v>
      </c>
      <c r="E36" s="21">
        <v>9.4</v>
      </c>
      <c r="F36" s="21">
        <f t="shared" si="1"/>
        <v>90.6</v>
      </c>
      <c r="G36" s="21"/>
      <c r="H36" s="36"/>
      <c r="I36" s="32">
        <v>34</v>
      </c>
      <c r="J36" s="23" t="s">
        <v>48</v>
      </c>
      <c r="K36" s="24">
        <v>16.554328990139577</v>
      </c>
      <c r="L36" s="24">
        <f t="shared" si="2"/>
        <v>83.445671009860419</v>
      </c>
    </row>
    <row r="37" spans="1:12" x14ac:dyDescent="0.2">
      <c r="A37" t="s">
        <v>50</v>
      </c>
      <c r="B37" s="21">
        <v>8.9494812522686917</v>
      </c>
      <c r="C37" s="21">
        <f t="shared" si="0"/>
        <v>91.050518747731303</v>
      </c>
      <c r="E37" s="21">
        <v>9</v>
      </c>
      <c r="F37" s="21">
        <f t="shared" si="1"/>
        <v>91</v>
      </c>
      <c r="G37" s="21"/>
      <c r="H37" s="36"/>
      <c r="I37" s="31">
        <v>35</v>
      </c>
      <c r="J37" s="17" t="s">
        <v>49</v>
      </c>
      <c r="K37" s="22">
        <v>9.4</v>
      </c>
      <c r="L37" s="22">
        <f t="shared" si="2"/>
        <v>90.6</v>
      </c>
    </row>
    <row r="38" spans="1:12" x14ac:dyDescent="0.2">
      <c r="A38" t="s">
        <v>51</v>
      </c>
      <c r="B38" s="21">
        <v>9.4706153323958695</v>
      </c>
      <c r="C38" s="21">
        <f t="shared" si="0"/>
        <v>90.529384667604134</v>
      </c>
      <c r="E38" s="21">
        <v>9.6</v>
      </c>
      <c r="F38" s="21">
        <f t="shared" si="1"/>
        <v>90.4</v>
      </c>
      <c r="G38" s="21"/>
      <c r="H38" s="36"/>
      <c r="I38" s="32">
        <v>36</v>
      </c>
      <c r="J38" s="23" t="s">
        <v>50</v>
      </c>
      <c r="K38" s="24">
        <v>9</v>
      </c>
      <c r="L38" s="24">
        <f t="shared" si="2"/>
        <v>91</v>
      </c>
    </row>
    <row r="39" spans="1:12" x14ac:dyDescent="0.2">
      <c r="A39" t="s">
        <v>52</v>
      </c>
      <c r="B39" s="21">
        <v>8.5570927516974713</v>
      </c>
      <c r="C39" s="21">
        <f t="shared" si="0"/>
        <v>91.442907248302532</v>
      </c>
      <c r="E39" s="21">
        <v>8.5570927516974713</v>
      </c>
      <c r="F39" s="21">
        <f t="shared" si="1"/>
        <v>91.442907248302532</v>
      </c>
      <c r="G39" s="21"/>
      <c r="H39" s="36"/>
      <c r="I39" s="31">
        <v>37</v>
      </c>
      <c r="J39" s="17" t="s">
        <v>51</v>
      </c>
      <c r="K39" s="22">
        <v>9.6</v>
      </c>
      <c r="L39" s="22">
        <f t="shared" si="2"/>
        <v>90.4</v>
      </c>
    </row>
    <row r="40" spans="1:12" x14ac:dyDescent="0.2">
      <c r="A40" t="s">
        <v>53</v>
      </c>
      <c r="B40" s="21">
        <v>11.038624145886455</v>
      </c>
      <c r="C40" s="21">
        <f t="shared" si="0"/>
        <v>88.961375854113541</v>
      </c>
      <c r="E40" s="21">
        <v>11.038624145886455</v>
      </c>
      <c r="F40" s="21">
        <f t="shared" si="1"/>
        <v>88.961375854113541</v>
      </c>
      <c r="G40" s="21"/>
      <c r="H40" s="36"/>
      <c r="I40" s="32">
        <v>38</v>
      </c>
      <c r="J40" s="23" t="s">
        <v>52</v>
      </c>
      <c r="K40" s="24">
        <v>8.5570927516974713</v>
      </c>
      <c r="L40" s="24">
        <f t="shared" si="2"/>
        <v>91.442907248302532</v>
      </c>
    </row>
    <row r="41" spans="1:12" x14ac:dyDescent="0.2">
      <c r="A41" t="s">
        <v>54</v>
      </c>
      <c r="B41" s="21">
        <v>18.11915883617019</v>
      </c>
      <c r="C41" s="21">
        <f t="shared" si="0"/>
        <v>81.880841163829814</v>
      </c>
      <c r="E41" s="21">
        <v>18.2</v>
      </c>
      <c r="F41" s="21">
        <f t="shared" si="1"/>
        <v>81.8</v>
      </c>
      <c r="G41" s="21"/>
      <c r="H41" s="36"/>
      <c r="I41" s="31">
        <v>39</v>
      </c>
      <c r="J41" s="17" t="s">
        <v>53</v>
      </c>
      <c r="K41" s="22">
        <v>11.038624145886455</v>
      </c>
      <c r="L41" s="22">
        <f t="shared" si="2"/>
        <v>88.961375854113541</v>
      </c>
    </row>
    <row r="42" spans="1:12" x14ac:dyDescent="0.2">
      <c r="A42" t="s">
        <v>55</v>
      </c>
      <c r="B42" s="21">
        <v>15.892571303610408</v>
      </c>
      <c r="C42" s="21">
        <f t="shared" si="0"/>
        <v>84.10742869638959</v>
      </c>
      <c r="E42" s="21">
        <v>16</v>
      </c>
      <c r="F42" s="21">
        <f t="shared" si="1"/>
        <v>84</v>
      </c>
      <c r="G42" s="21"/>
      <c r="H42" s="36"/>
      <c r="I42" s="32">
        <v>40</v>
      </c>
      <c r="J42" s="23" t="s">
        <v>54</v>
      </c>
      <c r="K42" s="24">
        <v>18.2</v>
      </c>
      <c r="L42" s="24">
        <f t="shared" si="2"/>
        <v>81.8</v>
      </c>
    </row>
    <row r="43" spans="1:12" x14ac:dyDescent="0.2">
      <c r="H43" s="36"/>
      <c r="I43" s="31">
        <v>41</v>
      </c>
      <c r="J43" s="17" t="s">
        <v>55</v>
      </c>
      <c r="K43" s="22">
        <v>16</v>
      </c>
      <c r="L43" s="22">
        <f t="shared" si="2"/>
        <v>84</v>
      </c>
    </row>
  </sheetData>
  <mergeCells count="4">
    <mergeCell ref="H3:H16"/>
    <mergeCell ref="H17:H33"/>
    <mergeCell ref="H34:H43"/>
    <mergeCell ref="H1:L1"/>
  </mergeCells>
  <pageMargins left="0.7" right="0.7" top="0.75" bottom="0.75" header="0.3" footer="0.3"/>
  <pageSetup orientation="portrait" horizontalDpi="0" verticalDpi="0" copies="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B37A5-C27E-D446-988D-058FF69FEEC1}">
  <dimension ref="A1:I42"/>
  <sheetViews>
    <sheetView tabSelected="1" workbookViewId="0">
      <selection activeCell="F43" sqref="F43"/>
    </sheetView>
  </sheetViews>
  <sheetFormatPr baseColWidth="10" defaultRowHeight="15" x14ac:dyDescent="0.2"/>
  <sheetData>
    <row r="1" spans="1:9" x14ac:dyDescent="0.2">
      <c r="A1" t="s">
        <v>74</v>
      </c>
      <c r="B1" t="s">
        <v>75</v>
      </c>
      <c r="C1" t="s">
        <v>76</v>
      </c>
      <c r="D1" t="s">
        <v>79</v>
      </c>
      <c r="E1" t="s">
        <v>81</v>
      </c>
      <c r="F1" t="s">
        <v>106</v>
      </c>
      <c r="G1" t="s">
        <v>104</v>
      </c>
      <c r="H1" t="s">
        <v>105</v>
      </c>
      <c r="I1" t="s">
        <v>103</v>
      </c>
    </row>
    <row r="2" spans="1:9" x14ac:dyDescent="0.2">
      <c r="A2" t="s">
        <v>16</v>
      </c>
      <c r="B2" t="s">
        <v>84</v>
      </c>
      <c r="C2" t="s">
        <v>101</v>
      </c>
      <c r="D2" t="s">
        <v>77</v>
      </c>
      <c r="E2" t="s">
        <v>82</v>
      </c>
      <c r="F2" t="s">
        <v>107</v>
      </c>
    </row>
    <row r="3" spans="1:9" x14ac:dyDescent="0.2">
      <c r="A3" t="s">
        <v>17</v>
      </c>
      <c r="B3" t="s">
        <v>84</v>
      </c>
      <c r="C3" t="s">
        <v>102</v>
      </c>
      <c r="D3" t="s">
        <v>77</v>
      </c>
      <c r="E3" t="s">
        <v>82</v>
      </c>
      <c r="F3" t="s">
        <v>107</v>
      </c>
    </row>
    <row r="4" spans="1:9" x14ac:dyDescent="0.2">
      <c r="A4" t="s">
        <v>18</v>
      </c>
      <c r="B4" t="s">
        <v>85</v>
      </c>
      <c r="C4" t="s">
        <v>101</v>
      </c>
      <c r="D4" t="s">
        <v>77</v>
      </c>
      <c r="E4" t="s">
        <v>82</v>
      </c>
      <c r="F4" t="s">
        <v>108</v>
      </c>
    </row>
    <row r="5" spans="1:9" x14ac:dyDescent="0.2">
      <c r="A5" t="s">
        <v>19</v>
      </c>
      <c r="B5" t="s">
        <v>85</v>
      </c>
      <c r="C5" t="s">
        <v>102</v>
      </c>
      <c r="D5" t="s">
        <v>77</v>
      </c>
      <c r="E5" t="s">
        <v>82</v>
      </c>
      <c r="F5" t="s">
        <v>108</v>
      </c>
    </row>
    <row r="6" spans="1:9" x14ac:dyDescent="0.2">
      <c r="A6" t="s">
        <v>20</v>
      </c>
      <c r="B6" t="s">
        <v>86</v>
      </c>
      <c r="C6" t="s">
        <v>101</v>
      </c>
      <c r="D6" t="s">
        <v>77</v>
      </c>
      <c r="E6" t="s">
        <v>82</v>
      </c>
      <c r="F6" t="s">
        <v>108</v>
      </c>
    </row>
    <row r="7" spans="1:9" x14ac:dyDescent="0.2">
      <c r="A7" t="s">
        <v>21</v>
      </c>
      <c r="B7" t="s">
        <v>86</v>
      </c>
      <c r="C7" t="s">
        <v>102</v>
      </c>
      <c r="D7" t="s">
        <v>77</v>
      </c>
      <c r="E7" t="s">
        <v>82</v>
      </c>
      <c r="F7" t="s">
        <v>108</v>
      </c>
    </row>
    <row r="8" spans="1:9" x14ac:dyDescent="0.2">
      <c r="A8" t="s">
        <v>22</v>
      </c>
      <c r="B8" t="s">
        <v>87</v>
      </c>
      <c r="C8" t="s">
        <v>101</v>
      </c>
      <c r="D8" t="s">
        <v>77</v>
      </c>
      <c r="E8" t="s">
        <v>82</v>
      </c>
      <c r="F8" t="s">
        <v>107</v>
      </c>
    </row>
    <row r="9" spans="1:9" x14ac:dyDescent="0.2">
      <c r="A9" t="s">
        <v>23</v>
      </c>
      <c r="B9" t="s">
        <v>87</v>
      </c>
      <c r="C9" t="s">
        <v>102</v>
      </c>
      <c r="D9" t="s">
        <v>77</v>
      </c>
      <c r="E9" t="s">
        <v>82</v>
      </c>
      <c r="F9" t="s">
        <v>107</v>
      </c>
    </row>
    <row r="10" spans="1:9" x14ac:dyDescent="0.2">
      <c r="A10" t="s">
        <v>24</v>
      </c>
      <c r="B10" t="s">
        <v>88</v>
      </c>
      <c r="C10" t="s">
        <v>101</v>
      </c>
      <c r="D10" t="s">
        <v>77</v>
      </c>
      <c r="E10" t="s">
        <v>82</v>
      </c>
      <c r="F10" t="s">
        <v>108</v>
      </c>
    </row>
    <row r="11" spans="1:9" x14ac:dyDescent="0.2">
      <c r="A11" t="s">
        <v>25</v>
      </c>
      <c r="B11" t="s">
        <v>88</v>
      </c>
      <c r="C11" t="s">
        <v>102</v>
      </c>
      <c r="D11" t="s">
        <v>77</v>
      </c>
      <c r="E11" t="s">
        <v>82</v>
      </c>
      <c r="F11" t="s">
        <v>108</v>
      </c>
    </row>
    <row r="12" spans="1:9" x14ac:dyDescent="0.2">
      <c r="A12" t="s">
        <v>26</v>
      </c>
      <c r="B12" t="s">
        <v>89</v>
      </c>
      <c r="C12" t="s">
        <v>101</v>
      </c>
      <c r="D12" t="s">
        <v>77</v>
      </c>
      <c r="E12" t="s">
        <v>82</v>
      </c>
      <c r="F12" t="s">
        <v>108</v>
      </c>
    </row>
    <row r="13" spans="1:9" x14ac:dyDescent="0.2">
      <c r="A13" t="s">
        <v>27</v>
      </c>
      <c r="B13" t="s">
        <v>89</v>
      </c>
      <c r="C13" t="s">
        <v>102</v>
      </c>
      <c r="D13" t="s">
        <v>77</v>
      </c>
      <c r="E13" t="s">
        <v>82</v>
      </c>
      <c r="F13" t="s">
        <v>108</v>
      </c>
    </row>
    <row r="14" spans="1:9" x14ac:dyDescent="0.2">
      <c r="A14" t="s">
        <v>28</v>
      </c>
      <c r="B14" t="s">
        <v>90</v>
      </c>
      <c r="C14" t="s">
        <v>101</v>
      </c>
      <c r="D14" t="s">
        <v>77</v>
      </c>
      <c r="E14" t="s">
        <v>82</v>
      </c>
      <c r="F14" t="s">
        <v>108</v>
      </c>
    </row>
    <row r="15" spans="1:9" x14ac:dyDescent="0.2">
      <c r="A15" t="s">
        <v>29</v>
      </c>
      <c r="B15" t="s">
        <v>91</v>
      </c>
      <c r="C15" t="s">
        <v>101</v>
      </c>
      <c r="D15" t="s">
        <v>77</v>
      </c>
      <c r="E15" t="s">
        <v>82</v>
      </c>
      <c r="F15" t="s">
        <v>107</v>
      </c>
    </row>
    <row r="16" spans="1:9" x14ac:dyDescent="0.2">
      <c r="A16" t="s">
        <v>30</v>
      </c>
      <c r="B16" t="s">
        <v>92</v>
      </c>
      <c r="C16" t="s">
        <v>101</v>
      </c>
      <c r="D16" t="s">
        <v>78</v>
      </c>
      <c r="E16" t="s">
        <v>82</v>
      </c>
      <c r="F16" t="s">
        <v>107</v>
      </c>
    </row>
    <row r="17" spans="1:6" x14ac:dyDescent="0.2">
      <c r="A17" t="s">
        <v>31</v>
      </c>
      <c r="B17" t="s">
        <v>92</v>
      </c>
      <c r="C17" t="s">
        <v>102</v>
      </c>
      <c r="D17" t="s">
        <v>78</v>
      </c>
      <c r="E17" t="s">
        <v>82</v>
      </c>
      <c r="F17" t="s">
        <v>107</v>
      </c>
    </row>
    <row r="18" spans="1:6" x14ac:dyDescent="0.2">
      <c r="A18" t="s">
        <v>32</v>
      </c>
      <c r="B18" t="s">
        <v>93</v>
      </c>
      <c r="C18" t="s">
        <v>101</v>
      </c>
      <c r="D18" t="s">
        <v>78</v>
      </c>
      <c r="E18" t="s">
        <v>82</v>
      </c>
      <c r="F18" t="s">
        <v>108</v>
      </c>
    </row>
    <row r="19" spans="1:6" x14ac:dyDescent="0.2">
      <c r="A19" t="s">
        <v>33</v>
      </c>
      <c r="B19" t="s">
        <v>93</v>
      </c>
      <c r="C19" t="s">
        <v>102</v>
      </c>
      <c r="D19" t="s">
        <v>78</v>
      </c>
      <c r="E19" t="s">
        <v>82</v>
      </c>
      <c r="F19" t="s">
        <v>108</v>
      </c>
    </row>
    <row r="20" spans="1:6" x14ac:dyDescent="0.2">
      <c r="A20" t="s">
        <v>34</v>
      </c>
      <c r="B20" t="s">
        <v>94</v>
      </c>
      <c r="C20" t="s">
        <v>101</v>
      </c>
      <c r="D20" t="s">
        <v>78</v>
      </c>
      <c r="E20" t="s">
        <v>82</v>
      </c>
      <c r="F20" t="s">
        <v>108</v>
      </c>
    </row>
    <row r="21" spans="1:6" x14ac:dyDescent="0.2">
      <c r="A21" t="s">
        <v>35</v>
      </c>
      <c r="B21" t="s">
        <v>94</v>
      </c>
      <c r="C21" t="s">
        <v>102</v>
      </c>
      <c r="D21" t="s">
        <v>78</v>
      </c>
      <c r="E21" t="s">
        <v>82</v>
      </c>
      <c r="F21" t="s">
        <v>108</v>
      </c>
    </row>
    <row r="22" spans="1:6" x14ac:dyDescent="0.2">
      <c r="A22" t="s">
        <v>36</v>
      </c>
      <c r="B22" t="s">
        <v>95</v>
      </c>
      <c r="C22" t="s">
        <v>101</v>
      </c>
      <c r="D22" t="s">
        <v>78</v>
      </c>
      <c r="E22" t="s">
        <v>82</v>
      </c>
      <c r="F22" t="s">
        <v>108</v>
      </c>
    </row>
    <row r="23" spans="1:6" x14ac:dyDescent="0.2">
      <c r="A23" t="s">
        <v>37</v>
      </c>
      <c r="B23" t="s">
        <v>95</v>
      </c>
      <c r="C23" t="s">
        <v>102</v>
      </c>
      <c r="D23" t="s">
        <v>78</v>
      </c>
      <c r="E23" t="s">
        <v>82</v>
      </c>
      <c r="F23" t="s">
        <v>108</v>
      </c>
    </row>
    <row r="24" spans="1:6" x14ac:dyDescent="0.2">
      <c r="A24" t="s">
        <v>38</v>
      </c>
      <c r="B24" t="s">
        <v>96</v>
      </c>
      <c r="C24" t="s">
        <v>101</v>
      </c>
      <c r="D24" t="s">
        <v>78</v>
      </c>
      <c r="E24" t="s">
        <v>82</v>
      </c>
      <c r="F24" t="s">
        <v>107</v>
      </c>
    </row>
    <row r="25" spans="1:6" x14ac:dyDescent="0.2">
      <c r="A25" t="s">
        <v>39</v>
      </c>
      <c r="B25" t="s">
        <v>96</v>
      </c>
      <c r="C25" t="s">
        <v>102</v>
      </c>
      <c r="D25" t="s">
        <v>78</v>
      </c>
      <c r="E25" t="s">
        <v>82</v>
      </c>
      <c r="F25" t="s">
        <v>107</v>
      </c>
    </row>
    <row r="26" spans="1:6" x14ac:dyDescent="0.2">
      <c r="A26" t="s">
        <v>40</v>
      </c>
      <c r="B26" t="s">
        <v>97</v>
      </c>
      <c r="C26" t="s">
        <v>101</v>
      </c>
      <c r="D26" t="s">
        <v>78</v>
      </c>
      <c r="E26" t="s">
        <v>82</v>
      </c>
      <c r="F26" t="s">
        <v>107</v>
      </c>
    </row>
    <row r="27" spans="1:6" x14ac:dyDescent="0.2">
      <c r="A27" t="s">
        <v>41</v>
      </c>
      <c r="B27" t="s">
        <v>97</v>
      </c>
      <c r="C27" t="s">
        <v>102</v>
      </c>
      <c r="D27" t="s">
        <v>78</v>
      </c>
      <c r="E27" t="s">
        <v>82</v>
      </c>
      <c r="F27" t="s">
        <v>107</v>
      </c>
    </row>
    <row r="28" spans="1:6" x14ac:dyDescent="0.2">
      <c r="A28" t="s">
        <v>42</v>
      </c>
      <c r="B28" t="s">
        <v>98</v>
      </c>
      <c r="C28" t="s">
        <v>101</v>
      </c>
      <c r="D28" t="s">
        <v>78</v>
      </c>
      <c r="E28" t="s">
        <v>82</v>
      </c>
      <c r="F28" t="s">
        <v>108</v>
      </c>
    </row>
    <row r="29" spans="1:6" x14ac:dyDescent="0.2">
      <c r="A29" t="s">
        <v>43</v>
      </c>
      <c r="B29" t="s">
        <v>98</v>
      </c>
      <c r="C29" t="s">
        <v>102</v>
      </c>
      <c r="D29" t="s">
        <v>78</v>
      </c>
      <c r="E29" t="s">
        <v>82</v>
      </c>
      <c r="F29" t="s">
        <v>108</v>
      </c>
    </row>
    <row r="30" spans="1:6" x14ac:dyDescent="0.2">
      <c r="A30" t="s">
        <v>44</v>
      </c>
      <c r="B30" t="s">
        <v>99</v>
      </c>
      <c r="C30" t="s">
        <v>101</v>
      </c>
      <c r="D30" t="s">
        <v>78</v>
      </c>
      <c r="E30" t="s">
        <v>82</v>
      </c>
      <c r="F30" t="s">
        <v>107</v>
      </c>
    </row>
    <row r="31" spans="1:6" x14ac:dyDescent="0.2">
      <c r="A31" t="s">
        <v>45</v>
      </c>
      <c r="B31" t="s">
        <v>99</v>
      </c>
      <c r="C31" t="s">
        <v>102</v>
      </c>
      <c r="D31" t="s">
        <v>78</v>
      </c>
      <c r="E31" t="s">
        <v>82</v>
      </c>
      <c r="F31" t="s">
        <v>107</v>
      </c>
    </row>
    <row r="32" spans="1:6" x14ac:dyDescent="0.2">
      <c r="A32" t="s">
        <v>46</v>
      </c>
      <c r="B32" t="s">
        <v>100</v>
      </c>
      <c r="C32" t="s">
        <v>101</v>
      </c>
      <c r="D32" t="s">
        <v>78</v>
      </c>
      <c r="E32" t="s">
        <v>82</v>
      </c>
      <c r="F32" t="s">
        <v>107</v>
      </c>
    </row>
    <row r="33" spans="1:6" x14ac:dyDescent="0.2">
      <c r="A33" t="s">
        <v>56</v>
      </c>
      <c r="B33" t="s">
        <v>56</v>
      </c>
      <c r="C33" t="s">
        <v>80</v>
      </c>
      <c r="D33" t="s">
        <v>80</v>
      </c>
      <c r="E33" t="s">
        <v>83</v>
      </c>
      <c r="F33" t="s">
        <v>108</v>
      </c>
    </row>
    <row r="34" spans="1:6" x14ac:dyDescent="0.2">
      <c r="A34" t="s">
        <v>47</v>
      </c>
      <c r="B34" t="s">
        <v>47</v>
      </c>
      <c r="C34" t="s">
        <v>80</v>
      </c>
      <c r="D34" t="s">
        <v>80</v>
      </c>
      <c r="E34" t="s">
        <v>83</v>
      </c>
      <c r="F34" t="s">
        <v>107</v>
      </c>
    </row>
    <row r="35" spans="1:6" x14ac:dyDescent="0.2">
      <c r="A35" t="s">
        <v>48</v>
      </c>
      <c r="B35" t="s">
        <v>48</v>
      </c>
      <c r="C35" t="s">
        <v>80</v>
      </c>
      <c r="D35" t="s">
        <v>80</v>
      </c>
      <c r="E35" t="s">
        <v>83</v>
      </c>
      <c r="F35" t="s">
        <v>107</v>
      </c>
    </row>
    <row r="36" spans="1:6" x14ac:dyDescent="0.2">
      <c r="A36" t="s">
        <v>49</v>
      </c>
      <c r="B36" t="s">
        <v>49</v>
      </c>
      <c r="C36" t="s">
        <v>80</v>
      </c>
      <c r="D36" t="s">
        <v>80</v>
      </c>
      <c r="E36" t="s">
        <v>83</v>
      </c>
      <c r="F36" t="s">
        <v>107</v>
      </c>
    </row>
    <row r="37" spans="1:6" x14ac:dyDescent="0.2">
      <c r="A37" t="s">
        <v>50</v>
      </c>
      <c r="B37" t="s">
        <v>50</v>
      </c>
      <c r="C37" t="s">
        <v>80</v>
      </c>
      <c r="D37" t="s">
        <v>80</v>
      </c>
      <c r="E37" t="s">
        <v>83</v>
      </c>
      <c r="F37" t="s">
        <v>108</v>
      </c>
    </row>
    <row r="38" spans="1:6" x14ac:dyDescent="0.2">
      <c r="A38" t="s">
        <v>51</v>
      </c>
      <c r="B38" t="s">
        <v>51</v>
      </c>
      <c r="C38" t="s">
        <v>80</v>
      </c>
      <c r="D38" t="s">
        <v>80</v>
      </c>
      <c r="E38" t="s">
        <v>83</v>
      </c>
      <c r="F38" t="s">
        <v>108</v>
      </c>
    </row>
    <row r="39" spans="1:6" x14ac:dyDescent="0.2">
      <c r="A39" t="s">
        <v>52</v>
      </c>
      <c r="B39" t="s">
        <v>52</v>
      </c>
      <c r="C39" t="s">
        <v>80</v>
      </c>
      <c r="D39" t="s">
        <v>80</v>
      </c>
      <c r="E39" t="s">
        <v>83</v>
      </c>
      <c r="F39" t="s">
        <v>107</v>
      </c>
    </row>
    <row r="40" spans="1:6" x14ac:dyDescent="0.2">
      <c r="A40" t="s">
        <v>53</v>
      </c>
      <c r="B40" t="s">
        <v>53</v>
      </c>
      <c r="C40" t="s">
        <v>80</v>
      </c>
      <c r="D40" t="s">
        <v>80</v>
      </c>
      <c r="E40" t="s">
        <v>83</v>
      </c>
      <c r="F40" t="s">
        <v>108</v>
      </c>
    </row>
    <row r="41" spans="1:6" x14ac:dyDescent="0.2">
      <c r="A41" t="s">
        <v>54</v>
      </c>
      <c r="B41" t="s">
        <v>54</v>
      </c>
      <c r="C41" t="s">
        <v>80</v>
      </c>
      <c r="D41" t="s">
        <v>80</v>
      </c>
      <c r="E41" t="s">
        <v>83</v>
      </c>
      <c r="F41" t="s">
        <v>107</v>
      </c>
    </row>
    <row r="42" spans="1:6" x14ac:dyDescent="0.2">
      <c r="A42" t="s">
        <v>55</v>
      </c>
      <c r="B42" t="s">
        <v>55</v>
      </c>
      <c r="C42" t="s">
        <v>80</v>
      </c>
      <c r="D42" t="s">
        <v>80</v>
      </c>
      <c r="E42" t="s">
        <v>83</v>
      </c>
      <c r="F42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STD Curve</vt:lpstr>
      <vt:lpstr>Volume-Dilution</vt:lpstr>
      <vt:lpstr>SC Cancer Creatine_SkM_BCA_SCN_</vt:lpstr>
    </vt:vector>
  </TitlesOfParts>
  <Company>Auburn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Roberts</dc:creator>
  <cp:lastModifiedBy>Sam Norton</cp:lastModifiedBy>
  <cp:lastPrinted>2025-12-05T20:39:57Z</cp:lastPrinted>
  <dcterms:created xsi:type="dcterms:W3CDTF">2025-12-05T18:07:18Z</dcterms:created>
  <dcterms:modified xsi:type="dcterms:W3CDTF">2026-02-02T15:26:23Z</dcterms:modified>
</cp:coreProperties>
</file>